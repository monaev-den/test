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cvsp-my.sharepoint.com/personal/dmonaev_coopervision_com/Documents/!!SC/Планирование Запасов/Russia Month End report/2026/2026.06 June/"/>
    </mc:Choice>
  </mc:AlternateContent>
  <xr:revisionPtr revIDLastSave="178" documentId="13_ncr:1_{C9069D7F-085C-4289-8FD5-AC4A91274C29}" xr6:coauthVersionLast="47" xr6:coauthVersionMax="47" xr10:uidLastSave="{16708972-F49D-4360-BBB9-8A9806AA5F51}"/>
  <bookViews>
    <workbookView xWindow="-108" yWindow="-108" windowWidth="23256" windowHeight="12456" tabRatio="517" xr2:uid="{86F7953D-D8FF-4C31-BCF4-A1E707232511}"/>
  </bookViews>
  <sheets>
    <sheet name="Report" sheetId="1" r:id="rId1"/>
    <sheet name="Data" sheetId="2" r:id="rId2"/>
    <sheet name="Availability" sheetId="3" r:id="rId3"/>
    <sheet name="BO Volumes" sheetId="4" r:id="rId4"/>
  </sheets>
  <definedNames>
    <definedName name="_xlnm._FilterDatabase" localSheetId="1" hidden="1">Data!$A$2:$AA$68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U73" i="2" l="1"/>
  <c r="T73" i="2"/>
  <c r="S73" i="2"/>
  <c r="R73" i="2"/>
  <c r="Q73" i="2"/>
  <c r="P73" i="2"/>
  <c r="O73" i="2"/>
  <c r="N73" i="2"/>
  <c r="M73" i="2"/>
  <c r="L73" i="2"/>
  <c r="K73" i="2"/>
  <c r="J73" i="2"/>
  <c r="I73" i="2"/>
  <c r="H73" i="2"/>
  <c r="G73" i="2"/>
  <c r="U72" i="2"/>
  <c r="V72" i="2" s="1"/>
  <c r="W72" i="2" s="1"/>
  <c r="X72" i="2" s="1"/>
  <c r="Y72" i="2" s="1"/>
  <c r="Z72" i="2" s="1"/>
  <c r="AA72" i="2" s="1"/>
  <c r="T72" i="2"/>
  <c r="S72" i="2"/>
  <c r="R72" i="2"/>
  <c r="Q72" i="2"/>
  <c r="P72" i="2"/>
  <c r="O72" i="2"/>
  <c r="N72" i="2"/>
  <c r="M72" i="2"/>
  <c r="L72" i="2"/>
  <c r="K72" i="2"/>
  <c r="J72" i="2"/>
  <c r="I72" i="2"/>
  <c r="G72" i="2"/>
  <c r="H70" i="2"/>
  <c r="H72" i="2" s="1"/>
  <c r="U57" i="2"/>
  <c r="T57" i="2"/>
  <c r="Q57" i="2"/>
  <c r="P57" i="2"/>
  <c r="O57" i="2"/>
  <c r="N57" i="2"/>
  <c r="M57" i="2"/>
  <c r="L57" i="2"/>
  <c r="K57" i="2"/>
  <c r="J57" i="2"/>
  <c r="I57" i="2"/>
  <c r="H57" i="2"/>
  <c r="G57" i="2"/>
  <c r="Z50" i="2"/>
  <c r="Y50" i="2"/>
  <c r="X50" i="2"/>
  <c r="W50" i="2"/>
  <c r="V50" i="2"/>
  <c r="U50" i="2"/>
  <c r="T50" i="2"/>
  <c r="S50" i="2"/>
  <c r="R50" i="2"/>
  <c r="Q50" i="2"/>
  <c r="P50" i="2"/>
  <c r="O50" i="2"/>
  <c r="N50" i="2"/>
  <c r="M50" i="2"/>
  <c r="L50" i="2"/>
  <c r="K50" i="2"/>
  <c r="J50" i="2"/>
  <c r="I50" i="2"/>
  <c r="H50" i="2"/>
  <c r="G50" i="2"/>
  <c r="F50" i="2"/>
  <c r="E50" i="2"/>
  <c r="D50" i="2"/>
  <c r="C50" i="2"/>
  <c r="Z48" i="2"/>
  <c r="Y48" i="2"/>
  <c r="X48" i="2"/>
  <c r="W48" i="2"/>
  <c r="V48" i="2"/>
  <c r="U48" i="2"/>
  <c r="T48" i="2"/>
  <c r="S48" i="2"/>
  <c r="R48" i="2"/>
  <c r="Q48" i="2"/>
  <c r="P48" i="2"/>
  <c r="O48" i="2"/>
  <c r="N48" i="2"/>
  <c r="M48" i="2"/>
  <c r="L48" i="2"/>
  <c r="K48" i="2"/>
  <c r="J48" i="2"/>
  <c r="I48" i="2"/>
  <c r="H48" i="2"/>
  <c r="G48" i="2"/>
  <c r="F48" i="2"/>
  <c r="E48" i="2"/>
  <c r="D48" i="2"/>
  <c r="C48" i="2"/>
  <c r="Z43" i="2"/>
  <c r="Y43" i="2"/>
  <c r="X43" i="2"/>
  <c r="W43" i="2"/>
  <c r="V43" i="2"/>
  <c r="T43" i="2"/>
  <c r="S43" i="2"/>
  <c r="R43" i="2"/>
  <c r="Q43" i="2"/>
  <c r="P43" i="2"/>
  <c r="O43" i="2"/>
  <c r="N43" i="2"/>
  <c r="M43" i="2"/>
  <c r="L43" i="2"/>
  <c r="K43" i="2"/>
  <c r="J43" i="2"/>
  <c r="I43" i="2"/>
  <c r="H43" i="2"/>
  <c r="G43" i="2"/>
  <c r="F43" i="2"/>
  <c r="E43" i="2"/>
  <c r="D43" i="2"/>
  <c r="C43" i="2"/>
  <c r="U41" i="2"/>
  <c r="U43" i="2" s="1"/>
  <c r="Z40" i="2"/>
  <c r="Y40" i="2"/>
  <c r="X40" i="2"/>
  <c r="W40" i="2"/>
  <c r="V40" i="2"/>
  <c r="U40" i="2"/>
  <c r="T40" i="2"/>
  <c r="R40" i="2"/>
  <c r="Q40" i="2"/>
  <c r="P40" i="2"/>
  <c r="O40" i="2"/>
  <c r="N40" i="2"/>
  <c r="M40" i="2"/>
  <c r="L40" i="2"/>
  <c r="K40" i="2"/>
  <c r="J40" i="2"/>
  <c r="I40" i="2"/>
  <c r="H40" i="2"/>
  <c r="G40" i="2"/>
  <c r="F40" i="2"/>
  <c r="E40" i="2"/>
  <c r="D40" i="2"/>
  <c r="C40" i="2"/>
  <c r="S39" i="2"/>
  <c r="S40" i="2" s="1"/>
  <c r="D63" i="4" l="1"/>
  <c r="AA40" i="2" l="1"/>
  <c r="AA48" i="2" l="1"/>
  <c r="AA50" i="2" l="1"/>
  <c r="AA43" i="2"/>
  <c r="B61" i="4" l="1"/>
  <c r="C61" i="4" l="1"/>
  <c r="E61" i="4" l="1"/>
  <c r="D61" i="4"/>
  <c r="D64"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tc={D1686F42-3685-4896-B577-E2F6B833B66F}</author>
    <author>tc={4560AD11-FA9D-4E02-AACC-92E84DB83AD4}</author>
    <author>tc={96BF120C-A1C9-4A52-A2A3-0BB51DF7758C}</author>
    <author>tc={F0EC4A08-6C0C-4601-8801-BFDCC83574E4}</author>
    <author>tc={C6D89F5B-64E3-496E-9645-5AFE45E1BBB3}</author>
    <author>tc={65ED5F48-3E1C-4235-9EBE-802157150417}</author>
    <author>tc={41AF2C56-1D97-452A-91FF-D9E465406DCD}</author>
    <author>tc={1B6AB80F-2992-4215-8A94-7B9466B368D0}</author>
    <author>tc={205ABF97-99B0-4238-A418-1A901E1DF535}</author>
    <author>tc={ED6D82C4-B35F-4008-BE84-F8F0DCD4EB92}</author>
    <author>tc={61041B4D-8F14-4DA3-84C8-63BDDFA05D65}</author>
    <author>tc={EDFC0385-05E3-4FE5-99DA-0CA8E0F551B3}</author>
    <author>tc={6C1EC839-2916-40BA-B8E7-894F60B39296}</author>
    <author>tc={7401D39A-8F1C-4C42-955F-C504128E6B5C}</author>
    <author>tc={1AAED322-49CC-4B1F-A561-FC220CBC37DB}</author>
    <author>tc={C12E3156-7C82-47B5-BCA6-2BE10380F77C}</author>
    <author>tc={2F0C9A98-1773-4FB1-B77E-7ADED5199585}</author>
    <author>tc={7DB8AF45-7D0E-46FA-9914-CB022724A928}</author>
    <author>tc={8BFBBFF0-9DE3-4C4E-A533-B3D0F66430A2}</author>
    <author>tc={6088167D-0068-4604-B22F-3A7B7C494147}</author>
    <author>tc={73115A3D-36E2-4557-972D-D30C99226A07}</author>
    <author>tc={E7438830-593F-48BC-95AE-97CEDC3E99C3}</author>
    <author>tc={27898CDC-6973-48B4-BDED-DD0EB3668713}</author>
    <author>tc={0BDB70FB-EEB3-4B34-84B3-F70339672F98}</author>
    <author>tc={B6DFBB68-D2E9-4941-B090-B6F5BB5F28FB}</author>
    <author>tc={6689B7CE-DF6F-4453-BBBE-F082248D51DD}</author>
    <author>tc={E9A15AE3-C502-4566-991F-AFA3D3EFF97E}</author>
    <author>tc={E8DBA4CA-A2CB-4287-B825-A025BB1BB0ED}</author>
    <author>tc={449EC5DB-C39B-4551-82FD-20DC328CC4B5}</author>
    <author>tc={D647E2A1-3FD2-41DE-B26C-A58365C4A370}</author>
    <author>tc={CB62BE19-4206-4F69-8930-33F37B0D52C2}</author>
  </authors>
  <commentList>
    <comment ref="M8" authorId="0" shapeId="0" xr:uid="{D1686F42-3685-4896-B577-E2F6B833B66F}">
      <text>
        <t xml:space="preserve">[Threaded comment]
Your version of Excel allows you to read this threaded comment; however, any edits to it will get removed if the file is opened in a newer version of Excel. Learn more: https://go.microsoft.com/fwlink/?linkid=870924
Comment:
    Вырос за счет коммерции Сферы – это накопительный эффект по Биомедиксу и Airway Premium 1 Day 30 pk из-за незапланированного перепотребления в конце апреля. Сейчас проблема решена, так как сток был привезен и отгружен.
+ отложенная отгрузка по iWear Active и Proclear 6 pk  - в первую машину после кат-оффа продукты не попали, так как был приоритет по Май Дэй. Попали в следующую машину, которая приехала позже и попала на сток позже.
</t>
      </text>
    </comment>
    <comment ref="N8" authorId="1" shapeId="0" xr:uid="{4560AD11-FA9D-4E02-AACC-92E84DB83AD4}">
      <text>
        <t xml:space="preserve">[Threaded comment]
Your version of Excel allows you to read this threaded comment; however, any edits to it will get removed if the file is opened in a newer version of Excel. Learn more: https://go.microsoft.com/fwlink/?linkid=870924
Comment:
    Показатель по коммерции Сфере снижается (что есть хорошо), но пока еще находится на относительно высоком уровне в связи с ООС по выводимому продукту Проклиар 6 пк. В июне клиентов оповестили о делистинге данной линейки и случилась перепродажа. Позиции уже едут в 12 машине – на стоке во второй половине июля.
А вообще для нас это не критично, как сказал маркетинг – нам нужно по-максимуму убрать сток, лучше ООС, чем большой остаток стока под списание.
</t>
      </text>
    </comment>
    <comment ref="O8" authorId="2" shapeId="0" xr:uid="{96BF120C-A1C9-4A52-A2A3-0BB51DF7758C}">
      <text>
        <t xml:space="preserve">[Threaded comment]
Your version of Excel allows you to read this threaded comment; however, any edits to it will get removed if the file is opened in a newer version of Excel. Learn more: https://go.microsoft.com/fwlink/?linkid=870924
Comment:
    Коомерция Сфера значительно подросла в связи с увеличением отсутствующих позиций по Проклиар 6 пк + последствие незапланированной перезатарки в июне Кордом Airway Premium 30 pk
Все позиции едут – Корд получит сток в августе, а Проклиар постепенно будет приходить в машинах до начала ноября. 
</t>
      </text>
    </comment>
    <comment ref="F19" authorId="3" shapeId="0" xr:uid="{F0EC4A08-6C0C-4601-8801-BFDCC83574E4}">
      <text>
        <t>[Threaded comment]
Your version of Excel allows you to read this threaded comment; however, any edits to it will get removed if the file is opened in a newer version of Excel. Learn more: https://go.microsoft.com/fwlink/?linkid=870924
Comment:
    Дима Монахов дал информацию</t>
      </text>
    </comment>
    <comment ref="H19" authorId="4" shapeId="0" xr:uid="{C6D89F5B-64E3-496E-9645-5AFE45E1BBB3}">
      <text>
        <t>[Threaded comment]
Your version of Excel allows you to read this threaded comment; however, any edits to it will get removed if the file is opened in a newer version of Excel. Learn more: https://go.microsoft.com/fwlink/?linkid=870924
Comment:
    За декабрь процент скана - 85% с учетом первых пяти дней, когда скан еще не работал.
Если делать статистику с 6 числа, то скан - 93%.
Reply:
    В КПИ 80%, остальное верно ☺️</t>
      </text>
    </comment>
    <comment ref="I19" authorId="5" shapeId="0" xr:uid="{65ED5F48-3E1C-4235-9EBE-802157150417}">
      <text>
        <t>[Threaded comment]
Your version of Excel allows you to read this threaded comment; however, any edits to it will get removed if the file is opened in a newer version of Excel. Learn more: https://go.microsoft.com/fwlink/?linkid=870924
Comment:
    Было 99%</t>
      </text>
    </comment>
    <comment ref="B22" authorId="6" shapeId="0" xr:uid="{41AF2C56-1D97-452A-91FF-D9E465406DCD}">
      <text>
        <t>[Threaded comment]
Your version of Excel allows you to read this threaded comment; however, any edits to it will get removed if the file is opened in a newer version of Excel. Learn more: https://go.microsoft.com/fwlink/?linkid=870924
Comment:
    All resposibility areas included (BOMI, transportation, production damage and customer side accepted by CV)
Reply:
    w/o cancelled</t>
      </text>
    </comment>
    <comment ref="B23" authorId="7" shapeId="0" xr:uid="{1B6AB80F-2992-4215-8A94-7B9466B368D0}">
      <text>
        <t>[Threaded comment]
Your version of Excel allows you to read this threaded comment; however, any edits to it will get removed if the file is opened in a newer version of Excel. Learn more: https://go.microsoft.com/fwlink/?linkid=870924
Comment:
    Кол-во согласованных по вине склада</t>
      </text>
    </comment>
    <comment ref="B24" authorId="8" shapeId="0" xr:uid="{205ABF97-99B0-4238-A418-1A901E1DF535}">
      <text>
        <t>[Threaded comment]
Your version of Excel allows you to read this threaded comment; however, any edits to it will get removed if the file is opened in a newer version of Excel. Learn more: https://go.microsoft.com/fwlink/?linkid=870924
Comment:
    Кол-во согласованных по вине склада</t>
      </text>
    </comment>
    <comment ref="B27" authorId="9" shapeId="0" xr:uid="{ED6D82C4-B35F-4008-BE84-F8F0DCD4EB92}">
      <text>
        <t>[Threaded comment]
Your version of Excel allows you to read this threaded comment; however, any edits to it will get removed if the file is opened in a newer version of Excel. Learn more: https://go.microsoft.com/fwlink/?linkid=870924
Comment:
    SHIPMENTS (with Marketing)</t>
      </text>
    </comment>
    <comment ref="B35" authorId="10" shapeId="0" xr:uid="{61041B4D-8F14-4DA3-84C8-63BDDFA05D65}">
      <text>
        <t>[Threaded comment]
Your version of Excel allows you to read this threaded comment; however, any edits to it will get removed if the file is opened in a newer version of Excel. Learn more: https://go.microsoft.com/fwlink/?linkid=870924
Comment:
    Operating Expense Total</t>
      </text>
    </comment>
    <comment ref="B36" authorId="11" shapeId="0" xr:uid="{EDFC0385-05E3-4FE5-99DA-0CA8E0F551B3}">
      <text>
        <t>[Threaded comment]
Your version of Excel allows you to read this threaded comment; however, any edits to it will get removed if the file is opened in a newer version of Excel. Learn more: https://go.microsoft.com/fwlink/?linkid=870924
Comment:
    Volumes - Unit of Sales (Packs)</t>
      </text>
    </comment>
    <comment ref="B38" authorId="12" shapeId="0" xr:uid="{6C1EC839-2916-40BA-B8E7-894F60B39296}">
      <text>
        <t>[Threaded comment]
Your version of Excel allows you to read this threaded comment; however, any edits to it will get removed if the file is opened in a newer version of Excel. Learn more: https://go.microsoft.com/fwlink/?linkid=870924
Comment:
    incl returnes, exchanges and promo activities</t>
      </text>
    </comment>
    <comment ref="T38" authorId="13" shapeId="0" xr:uid="{7401D39A-8F1C-4C42-955F-C504128E6B5C}">
      <text>
        <t>[Threaded comment]
Your version of Excel allows you to read this threaded comment; however, any edits to it will get removed if the file is opened in a newer version of Excel. Learn more: https://go.microsoft.com/fwlink/?linkid=870924
Comment:
    Вкл 160 доп.ч.</t>
      </text>
    </comment>
    <comment ref="Q39" authorId="14" shapeId="0" xr:uid="{1AAED322-49CC-4B1F-A561-FC220CBC37DB}">
      <text>
        <t>[Threaded comment]
Your version of Excel allows you to read this threaded comment; however, any edits to it will get removed if the file is opened in a newer version of Excel. Learn more: https://go.microsoft.com/fwlink/?linkid=870924
Comment:
    Результат Ок, т.к. план стоял на 270ч выше стандарта. В итоге не хватило ресурса на дополнительные часы</t>
      </text>
    </comment>
    <comment ref="S39" authorId="15" shapeId="0" xr:uid="{C12E3156-7C82-47B5-BCA6-2BE10380F77C}">
      <text>
        <t>[Threaded comment]
Your version of Excel allows you to read this threaded comment; however, any edits to it will get removed if the file is opened in a newer version of Excel. Learn more: https://go.microsoft.com/fwlink/?linkid=870924
Comment:
    Точно совпадает с фактом?
Reply:
    Явно подарки опять забыл. Пока вручную прибавила. Вагизу написала</t>
      </text>
    </comment>
    <comment ref="P40" authorId="16" shapeId="0" xr:uid="{2F0C9A98-1773-4FB1-B77E-7ADED5199585}">
      <text>
        <t>[Threaded comment]
Your version of Excel allows you to read this threaded comment; however, any edits to it will get removed if the file is opened in a newer version of Excel. Learn more: https://go.microsoft.com/fwlink/?linkid=870924
Comment:
    UK trucks delay</t>
      </text>
    </comment>
    <comment ref="B41" authorId="17" shapeId="0" xr:uid="{7DB8AF45-7D0E-46FA-9914-CB022724A928}">
      <text>
        <t>[Threaded comment]
Your version of Excel allows you to read this threaded comment; however, any edits to it will get removed if the file is opened in a newer version of Excel. Learn more: https://go.microsoft.com/fwlink/?linkid=870924
Comment:
    w/o marketing, but lines With marketing</t>
      </text>
    </comment>
    <comment ref="B43" authorId="18" shapeId="0" xr:uid="{8BFBBFF0-9DE3-4C4E-A533-B3D0F66430A2}">
      <text>
        <t>[Threaded comment]
Your version of Excel allows you to read this threaded comment; however, any edits to it will get removed if the file is opened in a newer version of Excel. Learn more: https://go.microsoft.com/fwlink/?linkid=870924
Comment:
    +/- 20% variance out of 100% - is OK</t>
      </text>
    </comment>
    <comment ref="H43" authorId="19" shapeId="0" xr:uid="{6088167D-0068-4604-B22F-3A7B7C494147}">
      <text>
        <t>[Threaded comment]
Your version of Excel allows you to read this threaded comment; however, any edits to it will get removed if the file is opened in a newer version of Excel. Learn more: https://go.microsoft.com/fwlink/?linkid=870924
Comment:
    Overforcasted month by Sales team</t>
      </text>
    </comment>
    <comment ref="M43" authorId="20" shapeId="0" xr:uid="{73115A3D-36E2-4557-972D-D30C99226A07}">
      <text>
        <t>[Threaded comment]
Your version of Excel allows you to read this threaded comment; however, any edits to it will get removed if the file is opened in a newer version of Excel. Learn more: https://go.microsoft.com/fwlink/?linkid=870924
Comment:
    Завышенный план продаж</t>
      </text>
    </comment>
    <comment ref="N43" authorId="21" shapeId="0" xr:uid="{E7438830-593F-48BC-95AE-97CEDC3E99C3}">
      <text>
        <t>[Threaded comment]
Your version of Excel allows you to read this threaded comment; however, any edits to it will get removed if the file is opened in a newer version of Excel. Learn more: https://go.microsoft.com/fwlink/?linkid=870924
Comment:
    Завышенный план продаж</t>
      </text>
    </comment>
    <comment ref="O43" authorId="22" shapeId="0" xr:uid="{27898CDC-6973-48B4-BDED-DD0EB3668713}">
      <text>
        <t>[Threaded comment]
Your version of Excel allows you to read this threaded comment; however, any edits to it will get removed if the file is opened in a newer version of Excel. Learn more: https://go.microsoft.com/fwlink/?linkid=870924
Comment:
    Завышенный план продаж</t>
      </text>
    </comment>
    <comment ref="P43" authorId="23" shapeId="0" xr:uid="{0BDB70FB-EEB3-4B34-84B3-F70339672F98}">
      <text>
        <t>[Threaded comment]
Your version of Excel allows you to read this threaded comment; however, any edits to it will get removed if the file is opened in a newer version of Excel. Learn more: https://go.microsoft.com/fwlink/?linkid=870924
Comment:
    Overforcasted month by Sales team</t>
      </text>
    </comment>
    <comment ref="B47" authorId="24" shapeId="0" xr:uid="{B6DFBB68-D2E9-4941-B090-B6F5BB5F28FB}">
      <text>
        <t>[Threaded comment]
Your version of Excel allows you to read this threaded comment; however, any edits to it will get removed if the file is opened in a newer version of Excel. Learn more: https://go.microsoft.com/fwlink/?linkid=870924
Comment:
    with labels and marketing</t>
      </text>
    </comment>
    <comment ref="B50" authorId="25" shapeId="0" xr:uid="{6689B7CE-DF6F-4453-BBBE-F082248D51DD}">
      <text>
        <t>[Threaded comment]
Your version of Excel allows you to read this threaded comment; however, any edits to it will get removed if the file is opened in a newer version of Excel. Learn more: https://go.microsoft.com/fwlink/?linkid=870924
Comment:
    +/- 20% variance out of 100% - is OK</t>
      </text>
    </comment>
    <comment ref="I56" authorId="26" shapeId="0" xr:uid="{E9A15AE3-C502-4566-991F-AFA3D3EFF97E}">
      <text>
        <t xml:space="preserve">[Threaded comment]
Your version of Excel allows you to read this threaded comment; however, any edits to it will get removed if the file is opened in a newer version of Excel. Learn more: https://go.microsoft.com/fwlink/?linkid=870924
Comment:
    The most part of Backorders were for Aculife One Day (30pk) and Biofinity (3pk)_Bespoke due to unpredicted oversales. Without these products % would be 4,6%
</t>
      </text>
    </comment>
    <comment ref="J56" authorId="27" shapeId="0" xr:uid="{E8DBA4CA-A2CB-4287-B825-A025BB1BB0ED}">
      <text>
        <t xml:space="preserve">[Threaded comment]
Your version of Excel allows you to read this threaded comment; however, any edits to it will get removed if the file is opened in a newer version of Excel. Learn more: https://go.microsoft.com/fwlink/?linkid=870924
Comment:
    The most part of Backorders was for Diag MiSight 1 Day (5 pk) due to unpredicted oversales. Without this product % would be 3,9%
</t>
      </text>
    </comment>
    <comment ref="Q56" authorId="28" shapeId="0" xr:uid="{449EC5DB-C39B-4551-82FD-20DC328CC4B5}">
      <text>
        <t xml:space="preserve">[Threaded comment]
Your version of Excel allows you to read this threaded comment; however, any edits to it will get removed if the file is opened in a newer version of Excel. Learn more: https://go.microsoft.com/fwlink/?linkid=870924
Comment:
    The most part of Backorders are for Proclear 6 pk and Proclear 1 day 30 pk – these products will be discontinued since end of November 2025 so now we faced with unpredictable sales. All backorders will be manufactured and shipped to the clients till the end of November. Without them % would be 5,4%.
Also we had oversales for Clariti 1 Day (90pk). Without all these issues we would have 4.6%
</t>
      </text>
    </comment>
    <comment ref="B63" authorId="29" shapeId="0" xr:uid="{D647E2A1-3FD2-41DE-B26C-A58365C4A370}">
      <text>
        <t>[Threaded comment]
Your version of Excel allows you to read this threaded comment; however, any edits to it will get removed if the file is opened in a newer version of Excel. Learn more: https://go.microsoft.com/fwlink/?linkid=870924
Comment:
    Not ready yet</t>
      </text>
    </comment>
    <comment ref="H70" authorId="30" shapeId="0" xr:uid="{CB62BE19-4206-4F69-8930-33F37B0D52C2}">
      <text>
        <t>[Threaded comment]
Your version of Excel allows you to read this threaded comment; however, any edits to it will get removed if the file is opened in a newer version of Excel. Learn more: https://go.microsoft.com/fwlink/?linkid=870924
Comment:
    -2 по графику Стоп-отгрузки</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tc={658190DD-2F8E-4F16-8013-71C4B2C25920}</author>
    <author>tc={931D8AE3-AA11-4C4B-A155-1814D84B002B}</author>
    <author>tc={DAF7A7DC-FAA7-432D-889D-F696FA419F38}</author>
    <author>tc={23349AD2-3424-4CFA-8D28-02BE884D56A0}</author>
    <author>tc={D48ECB1D-6B8C-41CC-97C9-D013CEC85DE2}</author>
    <author>tc={1E42DC84-6C22-4E3A-9154-FD465F0A32BD}</author>
    <author>tc={7C76C32B-F92D-4755-A5D0-6B17575C88D8}</author>
    <author>tc={907455F7-4884-4341-ABF3-AD8FCA940674}</author>
    <author>tc={58D3966E-0C12-4123-83E9-312EC31394FE}</author>
    <author>tc={1174D24C-A194-4C30-9A4C-DCE6C26ED9DC}</author>
    <author>tc={915E190A-DCDD-466A-81CC-21D27222CE9B}</author>
    <author>tc={1F7E8FE0-88C4-4B0B-95E5-D427D7B08AE5}</author>
    <author>tc={677115BE-A31F-4226-861C-E54110B3AD8C}</author>
    <author>tc={E8D7154E-D696-4D80-A7A5-1906F41897E9}</author>
    <author>tc={2905E309-0C1F-42CC-836F-F9A154FB756D}</author>
    <author>tc={AE14998C-D0E4-463B-991F-A42A92F4F486}</author>
    <author>tc={71495F36-AA8F-4ED4-860A-0513AD40F492}</author>
    <author>tc={4EDF22C4-8C94-48D3-A178-9813F313668A}</author>
    <author>tc={E4F0FB46-AED3-4462-B455-7BB10003D446}</author>
    <author>tc={6788114A-B8F2-488E-96E7-DA94EB4B65F9}</author>
    <author>tc={08C67679-F10D-440F-AD6D-636C7079D850}</author>
    <author>tc={F9042F62-D183-4EB2-A4D0-F9E28D113C45}</author>
    <author>tc={BEC63565-C373-4E0E-A56B-4A3985446C93}</author>
    <author>tc={6C918EF9-C49F-4436-B759-C3F57FD07A98}</author>
    <author>tc={3AFC7327-D1D4-4D8B-BAB3-36FB577786FC}</author>
    <author>tc={338ACF24-14FE-4C21-A7BC-2AD1306433DC}</author>
    <author>tc={A20DB10F-015A-4A2B-BF14-95007A09B2CB}</author>
    <author>tc={1A2EB277-FA04-4FD9-8712-863559B357A2}</author>
    <author>tc={1948D64A-841E-4F48-8899-ED37AF8AF303}</author>
    <author>tc={301D6F4D-DD47-4054-8447-D5509F5D63C7}</author>
    <author>tc={704077EA-753B-4683-9F0A-E0F0D91E7750}</author>
    <author>tc={D2C1A525-58F0-42E3-AD78-8A38879DD725}</author>
    <author>tc={2E897377-E210-41CE-B611-7E515D093D18}</author>
    <author>tc={83ABBA8E-CBE0-4B53-A7D1-1FD2771B1992}</author>
    <author>tc={307449FA-8906-4328-A61A-B47DE817DBCC}</author>
    <author>tc={B513CA0D-4F6E-4393-B242-972271D6FF11}</author>
    <author>tc={872EC8DF-7E68-407E-A00E-D1B63C1861E2}</author>
    <author>tc={41A994E0-202F-4B46-BA22-A064B58361F6}</author>
    <author>tc={A4911875-C3A7-4DC2-8C21-B9876D6C93AE}</author>
    <author>tc={D985681E-8CE1-483C-B0B3-5F1BEE164A7F}</author>
    <author>tc={CE5CE3D1-AF39-4B05-834D-3095B71C5FB7}</author>
    <author>tc={7B4C4763-9182-468A-93CD-677DAADDD7CD}</author>
    <author>tc={97628ACC-FBF4-4815-BCCF-2B68DA68FB51}</author>
    <author>tc={E119B805-4408-45B2-B352-255390E542BB}</author>
    <author>tc={0D67C9D9-7ED8-427C-B224-7B5CCA08B520}</author>
    <author>tc={8ED6579C-00B4-4E97-8D32-6D4B60B8E3E3}</author>
    <author>tc={585DF15C-68EC-46CA-B1AB-9DF0A9F12CCC}</author>
    <author>tc={81EF4BBB-2047-4C62-94EF-0004F0800621}</author>
    <author>tc={AC620A60-47B9-4E4D-AD1E-8438C09298EA}</author>
    <author>tc={5AB9791E-59EB-4749-9992-62A94544D2FA}</author>
    <author>tc={6EC590EF-63BB-495A-9859-6BE18B6AD081}</author>
    <author>tc={408B5B29-5553-4F91-B9DA-E82C6D41BE50}</author>
    <author>tc={085F0BA3-C6B7-421E-B1C7-20915B1F0801}</author>
    <author>tc={BD2701D8-89F0-49BA-89E7-61BF6EE7F1C1}</author>
    <author>tc={FCA094AF-26F4-46BF-82B4-040C11E057F9}</author>
    <author>tc={535433FD-FA83-41E5-8A71-86C4E19F750E}</author>
    <author>tc={292A6373-FC47-4EC7-994E-E0B3CFFE8219}</author>
    <author>tc={33C35D6B-F000-4811-B8BC-0CE76C51DE45}</author>
    <author>tc={916F8E31-0C60-4D05-85B3-50F4AC5EABFB}</author>
    <author>tc={0C6A9690-FB48-4E4A-92CD-BF4E8658731E}</author>
    <author>tc={47F922DF-65C5-4267-9BF5-07869B1F5E45}</author>
    <author>tc={3D62C835-108E-4F8A-ADBE-D622663A0F63}</author>
    <author>tc={A7FDB394-CAE3-4C89-8453-91B61BFDFED8}</author>
    <author>tc={C731EF39-E4EA-4646-9173-1B9E9AE01A43}</author>
    <author>tc={83073FD7-3B42-40CF-B3BA-E5412DE909F0}</author>
    <author>tc={96D6119C-BCC0-443B-BD40-AAC6D8E8B13C}</author>
    <author>tc={43DF3A5B-8F57-468C-95E0-8FB9D519AD46}</author>
    <author>tc={7FA5AFA4-5C93-427E-A38E-E88A8C4798C6}</author>
    <author>tc={8D174BE7-626D-4C41-B7A8-0456B042684A}</author>
  </authors>
  <commentList>
    <comment ref="BS1" authorId="0" shapeId="0" xr:uid="{658190DD-2F8E-4F16-8013-71C4B2C25920}">
      <text>
        <t>[Threaded comment]
Your version of Excel allows you to read this threaded comment; however, any edits to it will get removed if the file is opened in a newer version of Excel. Learn more: https://go.microsoft.com/fwlink/?linkid=870924
Comment:
    В общем ситуация по стокам ухудшилась по сравнению с предыдущей неделей.  Почему?
1)	За август у нас была лишь одна поставка в связи с тем, что мы ждали добавления нового продукта Misight 90 pk + были технические проблемы с документами при подготовке машины, что удлинило срок согласования отправки
2)	Так же на прошлой неделе произвели большое списание продуктов со сроком годности менее 6 месяцев (12 месяцев для продуктов iwear). 
Ждем выправления ситуации со следующими поставками.
В основном это сложные линзы.
На ухудшение показателя по сфере ЧМ и ХБ повлияло уменьшение стока по продукту WB Somofilcon A 56% 1 day (30pk) – это только неходовые плюсовые позиции, большинство из них приезжают на склад 12.09.
По сложным линзам ЧМ и ХБ повлияло уменьшение стока по WB Fanfilcon A toric (6pk), что было связано с отсутствием стока на производстве в самом ЮК. Сейчас проблема решена, ждем, когда к нам приедут эти позиции. 
По сфере бренд повлияло уменьшение стока Biomedics 55 Evolution (6pk), по ним информация ниже. Здесь же выпали плюсовые позиции Clariti elite (6pk) (приезжают 12.09 на склад)
По сложным линзам бренд повлияло уменьшение стока по Avaira Vitality toric (6pk) – та же проблема с отсутствием стока на производстве. Ждем сток в текущих и последующих поставках.
По сфере 52 выпавших диоптрии, из них 85% – плюсовые и неходовые минусовые.
•	Из ходовых диоптрий Biomedics 55 Evolution (6pk) 5 артикулов  – три из них едут в транзите, на склад машина поступит примерно 12 сентября, далее попытаемся поставить в приоритет на приемку. 2 оставшиеся изготавливаются на производстве, отгрузим в следующей поставке.
Biofinity (3pk)_Bespoke (-0450) – в том же транзите
Biofinity (6pk)_Bespoke (-0325) и Airway Ophtalmix Profi (6pk) (-0475) – позиции изготавливаются, отгрузим в следующей поставке.</t>
      </text>
    </comment>
    <comment ref="BT1" authorId="1" shapeId="0" xr:uid="{931D8AE3-AA11-4C4B-A155-1814D84B002B}">
      <text>
        <t>[Threaded comment]
Your version of Excel allows you to read this threaded comment; however, any edits to it will get removed if the file is opened in a newer version of Excel. Learn more: https://go.microsoft.com/fwlink/?linkid=870924
Comment:
    В общем ситуация по стокам ухудшилась по сравнению с предыдущей неделей.  Почему?
1)	За август у нас была лишь одна поставка в связи с тем, что мы ждали добавления нового продукта Misight 90 pk + были технические проблемы с документами при подготовке машины, что удлинило срок согласования отправки
2)	Так же произвели большое списание продуктов со сроком годности менее 6 месяцев (12 месяцев для продуктов iwear). 
3)	Проблема с Офтальмикс Профи 6 пк – не учтен первоначальный постановочный сток при размещении первоначального заказа, затем Лоджилити не справился с корректным размещением заказа по продукту.
В основном это сложные линзы.
На ухудшение показателя по сфере ЧМ и ХБ повлияло уменьшение стока по продукту WB Somofilcon A 56% 1 day (30pk) 
По сложным линзам ЧМ и ХБ повлияло уменьшение стока по WB Fanfilcon A toric (6pk), что было связано с отсутствием стока на производстве в самом ЮК. Сейчас проблема решена, ждем, когда к нам приедут эти позиции. 
По сфере бренд повлияло уменьшение стока Biomedics 55 Evolution (6pk), по ним информация ниже. Здесь же выпали плюсовые позиции Clariti elite (6pk) (по ним идет приемка).
По сложным линзам бренд повлияло уменьшение стока по Avaira Vitality toric (6pk) – та же проблема с отсутствием стока на производстве. Ждем сток в текущих и последующих поставках.
По сфере 61 выпавших диоптрии, из них 79% – плюсовые и неходовые минусовые.
•	Из ходовых диоптрий Biomedics 55 Evolution (6pk) 5 артикулов  – три из них на приемке, 1 поедет в след машине, оставшуюся позицию положим в след транзит, который только будет готовиться. 
Biofinity (3pk)_Bespoke (-0450) – на приемке
Biofinity (6pk)_Bespoke (-0325) – положим в след транзит, который только будет готовиться. 
Airway Ophtalmix Profi (6pk)  – 6 позиций, будем ускорять производство позиций и срочно везти.</t>
      </text>
    </comment>
    <comment ref="BU1" authorId="2" shapeId="0" xr:uid="{DAF7A7DC-FAA7-432D-889D-F696FA419F38}">
      <text>
        <t>[Threaded comment]
Your version of Excel allows you to read this threaded comment; however, any edits to it will get removed if the file is opened in a newer version of Excel. Learn more: https://go.microsoft.com/fwlink/?linkid=870924
Comment:
    Из ходовых диоптрий Biomedics 55 Evolution (6pk) 5 артикулов  – три из них на приемке, 1 поедет в след машине, оставшуюся позицию (LBMDEUA686-0325 нужно положить в готовящуюся машину - @Anna Bodrenkova, проследи, пожалуйста, чтобы положили)
Biofinity (6pk)_Bespoke (-0325) – должны положить в готовящийся транзит (@Anna Bodrenkova, проследи, плиз)
Airway Ophtalmix Profi (6pk)  – 8 позиций, нужно проверить, что бОльшую часть положили в готовящийся транзит (@Anna Bodrenkova)</t>
      </text>
    </comment>
    <comment ref="BV1" authorId="3" shapeId="0" xr:uid="{23349AD2-3424-4CFA-8D28-02BE884D56A0}">
      <text>
        <t>[Threaded comment]
Your version of Excel allows you to read this threaded comment; however, any edits to it will get removed if the file is opened in a newer version of Excel. Learn more: https://go.microsoft.com/fwlink/?linkid=870924
Comment:
    Большая часть – это позиции Airway Ophtalmix Profi (6pk), по ним дала информацию выше.
              Biofinity (6pk)_Bespoke (-0325) – приедет примерно 10 октября в машине 43 . Нужно поставить в приоритет (@Anna Bodrenkova)
              MiSight 1 day (90pk) (-0225, -0350) – машина поступила на склад 4 октября, позиции уже поставлены в приоритет.
Biomedics 55 Evolution (6pk) (-0325) – приедет примерно 10 октября в машине 43 . Нужно поставить в приоритет (@Anna Bodrenkova)
Airway Ophtalmix 1 Day (30pk) (-0450) – позиция на производстве, должны положить в следующую машину (@Anna Bodrenkova)</t>
      </text>
    </comment>
    <comment ref="CH1" authorId="4" shapeId="0" xr:uid="{D48ECB1D-6B8C-41CC-97C9-D013CEC85DE2}">
      <text>
        <t>[Threaded comment]
Your version of Excel allows you to read this threaded comment; however, any edits to it will get removed if the file is opened in a newer version of Excel. Learn more: https://go.microsoft.com/fwlink/?linkid=870924
Comment:
    По сложным линзам ЧМ и ХБ ухудшилась ситуация по стокам по продукту WB Fanfilcon A toric (6pk) – по продукту проблема на производстве + большой всплеск продаж в конце декабря (затарка клиентов).
По сфере Бренд ухудшилась ситуация по стокам по продукту Biomedics 55 Evolution (6pk) – информация по нему ниже.
По сложным линзам Бренд ухудшилась ситуация по продукту Avaira Vitality toric (6pk) –  по продукту проблема на производстве + большой всплеск продаж в конце декабря (затарка клиентов).
По сфере всего 42 выпавших диоптрий, из них 88% – плюсовые и неходовые минусовые.
Из ходовых позиций всего 5 артикулов. 
MiSight 1 day (90pk) (-0125) – позиция едет в машине 46, машина сломалась по пути, должна прийти либо на праздниках, либо после НГ – затем уже поставили в приоритет на приемку.
MyDay (90pk) (-0225) - позиция едет в машине 46.
iWear delicate (3pk) (-0475) –позиция едет в транзите 46.
Biomedics 55 Evolution (6pk) (-0250, -0300) – вторая позиция едет в машине 46. Первая позиция на производстве – вывезем уже после НГ.</t>
      </text>
    </comment>
    <comment ref="CI1" authorId="5" shapeId="0" xr:uid="{1E42DC84-6C22-4E3A-9154-FD465F0A32BD}">
      <text>
        <t>[Threaded comment]
Your version of Excel allows you to read this threaded comment; however, any edits to it will get removed if the file is opened in a newer version of Excel. Learn more: https://go.microsoft.com/fwlink/?linkid=870924
Comment:
    Огромные плюсы хочу отметить:
-	Машина 46 приехала на праздниках и сразу же пошла приемка – мы очень подтянули стоки благодаря ей. На будущее на все НГ праздники так же нужно производить приемку, тогда начало года не будет для нас плачевным в плане стоков
-	Машину 1 уже сформировали и согласовали до НГ – так же хорошая практика, так как на согласование уходит много времени, а в начале года у нас не так много времени в январе.
Благодаря этому у нас плюсы (хорошие такие) по всем категориям в первом отчете года – спасибо @Anna Bodrenkova и @Maxim Aleksandrov!!!
По сфере всего 25 выпавших диоптрий, из них 84% – плюсовые и неходовые минусовые.
Из ходовых позиций всего 4 артикула. 
iWear delicate (3pk) (-0475) –позиция на приемке, закроют машину до 20.01. По возможности поставить в приоритет @Anna Bodrenkova
Biomedics 55 Evolution (6pk) (-0250, -0300, -0325) – первая позиция выезжает из ЮК 12.01, на складе примерно 23-24 января, далее необходимо поставить будет в приоритет на приемку @Anna Bodrenkova
Вторая и третья позиции на приемке – до 20.01 будут приняты. По возможности поставить в приоритет @Anna Bodrenkova</t>
      </text>
    </comment>
    <comment ref="CJ1" authorId="6" shapeId="0" xr:uid="{7C76C32B-F92D-4755-A5D0-6B17575C88D8}">
      <text>
        <t>[Threaded comment]
Your version of Excel allows you to read this threaded comment; however, any edits to it will get removed if the file is opened in a newer version of Excel. Learn more: https://go.microsoft.com/fwlink/?linkid=870924
Comment:
    По сфере ЧМ и ХБ ухудшилась ситуация по стокам по продукту iWear delicate – детали  ниже
По сфере Бренд ухудшилась ситуация по стокам по продукту Avaira Vitality (6pk) – так же проблемы на производстве.
По сфере всего 31 выпавших диоптрий, из них 74% – плюсовые и неходовые минусовые.
Из ходовых позиций всего 8 артикулов. 
iWear delicate (3pk) (-5 позиций) –едут в машине , на складе примерно 23024 января – поставить в приоритет на приемку @Anna Bodrenkova
Biomedics 55 Evolution (6pk) (-0250, -0350) – первая позиция выезжает из ЮК 12.01, на складе примерно 23-24 января, далее поставили уже в приоритет. Вторая позиция так же едет в машине 1 – нужно поставить в приоритет на приемку @Anna Bodrenkova
iWear fresh (30pk) (-0250) – на приемке из машины 46 – должна закрыться завтра 20.01</t>
      </text>
    </comment>
    <comment ref="CK1" authorId="7" shapeId="0" xr:uid="{907455F7-4884-4341-ABF3-AD8FCA940674}">
      <text>
        <t>[Threaded comment]
Your version of Excel allows you to read this threaded comment; however, any edits to it will get removed if the file is opened in a newer version of Excel. Learn more: https://go.microsoft.com/fwlink/?linkid=870924
Comment:
    По сфере Бренд ухудшилась ситуация по стокам по продуктам Avaira Vitality (6pk) – так же проблемы на производстве.
Я немного изменила логику анализа информации, до этого мы называли ходовыми позиции от -1 до -5,5, сейчас я предлагаю исходить из категоризации АВС анализа (по штукам) и рассматривать категорию А как ходовой продукт. Пересчет АВС был проведен 24.01.2023, то есть данные свежие на основе годовых продаж 2022.</t>
      </text>
    </comment>
    <comment ref="CL1" authorId="8" shapeId="0" xr:uid="{58D3966E-0C12-4123-83E9-312EC31394FE}">
      <text>
        <t>[Threaded comment]
Your version of Excel allows you to read this threaded comment; however, any edits to it will get removed if the file is opened in a newer version of Excel. Learn more: https://go.microsoft.com/fwlink/?linkid=870924
Comment:
    По сфере Бренд ухудшилась ситуация по стокам по продуктам Avaira Vitality (6pk) – так же проблемы на производстве.
Я немного изменила логику анализа информации, до этого мы называли ходовыми позиции от -1 до -5,5, сейчас я предлагаю исходить из категоризации АВС анализа (по штукам) и рассматривать категорию А как ходовой продукт. Пересчет АВС был проведен 24.01.2023, то есть данные свежие на основе годовых продаж 2022.</t>
      </text>
    </comment>
    <comment ref="CM1" authorId="9" shapeId="0" xr:uid="{1174D24C-A194-4C30-9A4C-DCE6C26ED9DC}">
      <text>
        <t>[Threaded comment]
Your version of Excel allows you to read this threaded comment; however, any edits to it will get removed if the file is opened in a newer version of Excel. Learn more: https://go.microsoft.com/fwlink/?linkid=870924
Comment:
    По сфере ЧМ и ХБ незначительно ухудшилась ситуация по стокам по продукту WB Fanfilcon A (6pk) – три непопулярные плюсовые позиции, которые будут приняты из машины 2 до 07.03 включительно.
По сфере сложным линзам ЧМ и ХБ незначительно ухудшилась ситуация по стокам по продукту WB Fanfilcon A toric (6pk) – для сложного продукта, у которого есть так же проблемы на производстве, это не критично.
По сложным линзам бренд незначительно ухудшилась ситуация по стокам по продукту Avaira Vitality toric (6pk) – так же не проблема.
По сфере всего 21 выпавших диоптрий, из них 90% – неходовые продукты из категорий B и С.
Из категории А (по штукам) всего 2 артикула. 
Avaira Vitality (6pk) – одна позиция (-0050) – находится на приемке из машины 2 – уже ставили в приоритет.
iWear Activ (30pk) – одна позиция (-0050) – находится на приемке из машины 2 – уже ставили в приоритет.</t>
      </text>
    </comment>
    <comment ref="CN1" authorId="10" shapeId="0" xr:uid="{915E190A-DCDD-466A-81CC-21D27222CE9B}">
      <text>
        <t>[Threaded comment]
Your version of Excel allows you to read this threaded comment; however, any edits to it will get removed if the file is opened in a newer version of Excel. Learn more: https://go.microsoft.com/fwlink/?linkid=870924
Comment:
    По сфере бренд незначительно ухудшилась ситуация по стокам по продуктам:
MiSight 1 day (90pk) – 5 артикулов, 2 из них находятся на приемке из 2 машины и будут приняты до конца февраля, остальные едут в транзите в машине 3. По приезду поставим в приоритет @Anna Bodrenkova
Biomedics 55 Evolution (6pk) – информация ниже.
По сфере всего 22 выпавших диоптрий, из них 86% – неходовые продукты из категорий B и С.
Из категории А (по штукам) всего 3 артикула. 
2 позиции Biomedics 55 Evolution (6pk) (-0550 и +0500) – первая позиция находится в транзите в машине 3, как только приедет числа 17-20 февраля на склад, затем ставим в приоритет на приемку @Anna Bodrenkova
Вторая позиция еще на производстве, в следующей поставке нужно постараться ее вывезти.
iWear Activ (30pk) – одна позиция (-0050) – находится в транзите в машине 3, как только приедет числа 17-20 февраля на склад, затем ставим в приоритет на приемку @Anna Bodrenkova</t>
      </text>
    </comment>
    <comment ref="CO1" authorId="11" shapeId="0" xr:uid="{1F7E8FE0-88C4-4B0B-95E5-D427D7B08AE5}">
      <text>
        <t>[Threaded comment]
Your version of Excel allows you to read this threaded comment; however, any edits to it will get removed if the file is opened in a newer version of Excel. Learn more: https://go.microsoft.com/fwlink/?linkid=870924
Comment:
    По сфере ЧМ и ХБ незначительно ухудшилась ситуация по стокам по продуктам WB Somofilcon A (6pk) (4 артикула) и WB Somofilcon A 56% 1 day (30pk) (1 артикул) – неходовые плюсовые позиции, которые поступят на сток в машине 3 и 4 в конце февраля – начале марта. Ситуация не критичная.
По сложным линзам ЧМ и ХБ незначительно ухудшилась ситуация по продукту WB Comfilcon A toric BF (3pk)  - ситуация не критичная.
По сфере бренд ухудшилась ситуация по стокам по продуктам:
MiSight 1 day (90pk) – 6 артикулов, 3 из них находятся на приемке из 2 машины и будут приняты до конца февраля, остальные едут в транзите в машине 3. По приезду поставим в приоритет.
Clariti elite (6pk) – 2 неходовых плюсовых артикула, которые едут в машинах 3 и 4 и будут на складе в конце февраля – начале марта. Ситуация не критичная.
По сложным линзам бренд ухудшилась ситуация по стокам по продукту Clariti 1 Day multifocal (30pk) – ситуация не критичная.
По сфере всего 26 выпавших диоптрий, из них 88% – неходовые продукты из категорий B и С.
Из категории А (по штукам) всего 3 артикула. 
2 позиции Biomedics 55 Evolution (6pk) (-0550 и +0500) – первая позиция находится в транзите в машине 3, как только приедет числа 17-20 февраля на склад, затем поставим в приоритет на приемку.
Вторая позиция еще производстве, в поставке в машине 5 в начале марта вывезем ее.
iWear Activ (30pk) – одна позиция (-0050) – находится в транзите в машине 3, как только приедет числа 17-20 февраля на склад, затем поставим в приоритет на приемку.</t>
      </text>
    </comment>
    <comment ref="CP1" authorId="12" shapeId="0" xr:uid="{677115BE-A31F-4226-861C-E54110B3AD8C}">
      <text>
        <t>[Threaded comment]
Your version of Excel allows you to read this threaded comment; however, any edits to it will get removed if the file is opened in a newer version of Excel. Learn more: https://go.microsoft.com/fwlink/?linkid=870924
Comment:
    По сложным линзам бренд незначительно ухудшилась ситуация по стокам по продукту Clariti 1 Day multifocal (30pk) – ситуация не критичная.
По сфере всего 21 выпавших диоптрий, из них 86% – неходовые продукты из категорий B и С.
Из категории А (по штукам) всего 3 артикула. 
2 позиции Biomedics 55 Evolution (6pk) (-0600 и +0500) – первая позиция приехала в машине 3 - в приоритет на приемку. @Anna Bodrenkova
Вторая позиция еще производстве, в поставке в машине 5 в начале марта вывезем ее.
iWear Activ (30pk) (как проговорили с тобой) – товара в машине 3 хватает под потребность. Утром приняли товар, БО закрыты и есть страховой запас.
Biomedics -6.00 добавляю в приоритет.</t>
      </text>
    </comment>
    <comment ref="CQ1" authorId="13" shapeId="0" xr:uid="{E8D7154E-D696-4D80-A7A5-1906F41897E9}">
      <text>
        <t>[Threaded comment]
Your version of Excel allows you to read this threaded comment; however, any edits to it will get removed if the file is opened in a newer version of Excel. Learn more: https://go.microsoft.com/fwlink/?linkid=870924
Comment:
    По сложным линзам ЧМ и ХБ незначительно ухудшилась ситуация по стокам по продукту iWear activ astigmatism (30 pk) – ситуация не критичная.
По сфере всего 16 выпавших диоптрий, из них 94% – неходовые продукты из категорий B и С.
Из категории А (по штукам) всего 1 артикул (тот же, который был и на прошлой неделе).
Это Biomedics 55 Evolution (6pk) (+0500) – позиция еще в ДП, в поставке в машине 5 в середине марта вывезем ее.</t>
      </text>
    </comment>
    <comment ref="CR1" authorId="14" shapeId="0" xr:uid="{2905E309-0C1F-42CC-836F-F9A154FB756D}">
      <text>
        <t>[Threaded comment]
Your version of Excel allows you to read this threaded comment; however, any edits to it will get removed if the file is opened in a newer version of Excel. Learn more: https://go.microsoft.com/fwlink/?linkid=870924
Comment:
    По сфере ЧМ и ХБ незначительно ухудшилась ситуация по стокам по продукту WB Somofilcon A (6pk) (3 плюсовые позиции категории С) – ситуация не критичная.
По сфере Бренд ухудшилась ситуация по стокам по продуктам MiSight 1 day (90pk) (1 позиция категории В -0550) – приехала в машине 4 11 марта – @Anna Bodrenkova, проверь, плиз, стоит ли в приоритете на приемку.
3 позиции Proclear  (6pk) (-0050, +0450, +0850) – все они приехали так же в машине 4 – нужно поставить в приоритет на приемку @Anna Bodrenkova
По сфере всего 25 выпавших диоптрий, из них 92% – неходовые продукты из категорий B и С.
Из категории А (по штукам) всего 2 артикула (тот же, который был и на прошлой неделе).
Это Biomedics 55 Evolution (6pk) (+0500) – позиция еще в ДП, в машине 5 не получилось вывезти, необходимо отправить в поставке в машине 6 в конце марта. @Anna Bodrenkova
И Clariti 1 Day (30pk)_Bespoke  (-0500) – позиция поедет в машине 5 с приходом на БОМИ примерно на последней неделе марта – затем поставим в приоритет на приемку @Anna Bodrenkova</t>
      </text>
    </comment>
    <comment ref="CS1" authorId="15" shapeId="0" xr:uid="{AE14998C-D0E4-463B-991F-A42A92F4F486}">
      <text>
        <t>[Threaded comment]
Your version of Excel allows you to read this threaded comment; however, any edits to it will get removed if the file is opened in a newer version of Excel. Learn more: https://go.microsoft.com/fwlink/?linkid=870924
Comment:
    По сфере ЧМ и ХБ ухудшилась ситуация по стокам по продуктам iWear Activ (30pk) – 2 плюсовые неходовые позиции, одна из которых уже едет в транзите в машине 5, а вторая будет выезжать с машиной 6.
WB Fanfilcon A (6pk) – 2 плюсовые неходовые позиции, которые уже приехали в машине 4 – идет приемка до 14.04.
WB Somofilcon A (6pk) – 4 плюсовые неходовые позиции, часть из которых уже приехали в машине 4, а часть едут в машине 5.
Проблем в целом не вижу, приоритеты ставить не нужно.
По сложным линзам Бренд незначительно ухудшилась ситуация по стокам по продукту Clariti 1 Day toric (30pk) – в целом так же не вижу проблем – они все либо уже приехали в машине 4 и идет приемка, либо подъезжают в машине 5 на последней неделе марта. Приоритеты не нужны.
По сфере всего 25 выпавших диоптрий, из них 88% – неходовые продукты из категорий B и С.
Из категории А (по штукам) всего 3 артикула.
Это Biomedics 55 Evolution (6pk) (+0500) – позиция еще в ДП, проблемы с silver стоком на производстве. 2-3 недели на исправление ситуации – по мнению ДП.
Clariti 1 Day (30pk)_Bespoke  (-0500) – позиция поедет в машине 5 с приходом на БОМИ примерно на последней неделе марта – затем поставим в приоритет на приемку.
И Airway Ophtalmix Profi (6pk) (-0225) – позиция уже приехала в машине 4 – необходимо поставить в приоритет на приемку @Anna Bodrenkova</t>
      </text>
    </comment>
    <comment ref="CT1" authorId="16" shapeId="0" xr:uid="{71495F36-AA8F-4ED4-860A-0513AD40F492}">
      <text>
        <t>[Threaded comment]
Your version of Excel allows you to read this threaded comment; however, any edits to it will get removed if the file is opened in a newer version of Excel. Learn more: https://go.microsoft.com/fwlink/?linkid=870924
Comment:
    По сложным линзам ЧМ и ХБ незначительно ухудшилась ситуация по продукту WB Fanfilcon A toric (6pk) – некритично.
По сфере Бренд ухудшилась ситуация по стокам по продуктам 
Avaira Vitality (6pk) – только плюсовые неходовые позиции категории В и С – все они находятся на приемке из 4 машины, будут приняты до 14.04
Clariti elite (6pk) – так же – только плюсовые неходовые позиции категории В и С – все они находятся на приемке из 4 машины, будут приняты до 14.04
Proclear  (6pk) – так же практически все находятся в 4 машине, идет приемка до 14.04. Одна приоритетная позиция – ее в приоритет (как указала ниже инфо).
В целом ничего критичного.
По сложным линзам Бренд незначительно ухудшилась ситуация по стокам по продукту Biofinity Toric (3 pk) (new) – в целом так же не вижу проблем.
По сфере всего 34 выпавших диоптрий, из них 91% – неходовые продукты из категорий B и С.
Из категории А (по штукам) всего 3 артикула.
Это Biomedics 55 Evolution (6pk) (+0500) – позиция еще в ДП, проблемы с silver стоком на производстве. 2-3 недели на исправление ситуации – по мнению ДП.
Clariti 1 Day (30pk)_Bespoke  (-0500) – позиция приезжает в машине 5 31.03, уже в приоритете на приемку – ожидаем в ближайшее время.
И Proclear  (6pk) (-0275) – позиция в машине 4 – необходимо поставить в приоритет на приемку, если мы этого не делали – проверь, плиз, @Anna Bodrenkova</t>
      </text>
    </comment>
    <comment ref="CU1" authorId="17" shapeId="0" xr:uid="{4EDF22C4-8C94-48D3-A178-9813F313668A}">
      <text>
        <t>[Threaded comment]
Your version of Excel allows you to read this threaded comment; however, any edits to it will get removed if the file is opened in a newer version of Excel. Learn more: https://go.microsoft.com/fwlink/?linkid=870924
Comment:
    По сфере ЧМ и ХБ незначительно ухудшилась ситуация по продукту WB Fanfilcon A (6pk) – 4 плюсовые позиции категории В и С, все находятся на приемке в машине 4 – ситуация не критичная, приоритеты не нужны.
По сложным линзам ЧМ и ХБ незначительно ухудшилась ситуация по продукту WB Fanfilcon A toric (6pk) – некритично.
По сфере Бренд ухудшилась ситуация по стокам по продуктам 
MiSight 1 day (90pk) – 3 позиции категории В, часть находится в машине 4, часть в машине 5  -по возможности поставить в приоритет на приемку @Anna Bodrenkova, так как по деньгам эти позиции уже попадают в категорию А.
Avaira Vitality (6pk) – по минусовым позициям комментарии ниже, по остальным плюсовым неходовым позициям категории В и С – все они находятся на приемке из 4 машины, будут приняты до 14.04 – не критично.
Proclear  (6pk) – по минусовым позициям комментарии ниже, по остальным плюсовым неходовым позициям категории В и С – большинство находятся на приемке из 4 машины, будут приняты до 14.04, остальное из машины 5 – приемка так же уже идет.
По сложным линзам Бренд незначительно ухудшилась ситуация по стокам по продукту Avaira Vitality toric (6pk)– в целом не вижу проблем.</t>
      </text>
    </comment>
    <comment ref="CV1" authorId="18" shapeId="0" xr:uid="{E4F0FB46-AED3-4462-B455-7BB10003D446}">
      <text>
        <t>[Threaded comment]
Your version of Excel allows you to read this threaded comment; however, any edits to it will get removed if the file is opened in a newer version of Excel. Learn more: https://go.microsoft.com/fwlink/?linkid=870924
Comment:
    Все прекрасно подтянули – это замечательно, все молодцы!
По сфере всего 27 выпавших диоптрий, из них 93% – неходовые продукты из категорий B и С.
Из категории А (по штукам) всего 2 артикула.
Это Biomedics 55 Evolution (6pk) (+0500) – позиция еще в ДП, проблемы с silver стоком на производстве Пока улучшений нет.
Airway Ophtalmix 1 Day (30pk) – 1 позиция (-0075) – на приемке в машине 5 – уже поставили в приоритет на приемку</t>
      </text>
    </comment>
    <comment ref="DA1" authorId="19" shapeId="0" xr:uid="{6788114A-B8F2-488E-96E7-DA94EB4B65F9}">
      <text>
        <t>[Threaded comment]
Your version of Excel allows you to read this threaded comment; however, any edits to it will get removed if the file is opened in a newer version of Excel. Learn more: https://go.microsoft.com/fwlink/?linkid=870924
Comment:
    По сфере ЧМ и ХБ ухудшилась ситуация по продукту Airway Ophtalmix 1 Day (30pk) -   7 позиций, комментарии ниже.
По сложным линзам ЧМ и ХБ незначительно ухудшилась ситуация по продуктам WB Comfilcon A multifocal BF (3 pk) и WB Fanfilcon A toric (6pk). Не критично.
По сложным линзам Бренд  незначительно ухудшилась ситуация по продуктам Avaira Vitality (6pk) и Proclear  (6pk). По Виталити это 4 неходовые позиции категорий В и С – бОльшая часть из них есть на приемке из 7 машины и в транзите из 8 машины. По Проклиар это 5 позиций, одна из категории А – по ней комментарии ниже, остальные позиции категорий В и С есть на приемке из машины 6, то есть 19 мая будут уже закрыты.
По сфере всего 43 выпавших диоптрий, из них 58% – неходовые продукты из категорий B и С.
Из категории А (по штукам) всего 18 артикулов.
Это все тот же Biomedics 55 Evolution (6pk) (+0500 и -1000) – позиции еще в ДП, проблемы с silver стоком на производстве. Пока улучшений нет.
Airway Premium 1 Day (30 pk) (-0700) – позиция еще в Дельта Парке, должна была попасть в отгрузку в 9 машину (@Anna Bodrenkova, проверь, плиз). Не критично, так как клиент затарился ранее.
Airway Premium 1 Day (30 pk) (-0750) – позиция еще в Дельта Парке, вывозить будем со следующей машиной 9, идет согласование машины. Не критично, так как клиент затарился ранее.
Airway Ophtalmix Profi (6pk) (-0350) – позиция едет в транзите в машине 8. Отгрузка из ДП произошла 05.05 с приходом на склад 25 мая. По приезду поставим в приоритет.
Из нового:
Airway Ophtalmix 1 Day (30pk) 7 позиций – 5 из них едут в 8 траке, приход на склад 25 мая – поставим в приоритет на приемку @Anna Bodrenkova, 2 позиции еще в ДП на производстве, отгрузка из ДП примерно конец мая-начало июня с приходом на склад в середине июня.
Proclear  (6pk) (-2000) – позиция на приемке из 6 трака, по плану приемка должна быть закрыта 19.05
iWear Activ (30pk) (-0575 и -0750) – первая позиция на приемке из 7 трака, приемка по плану сферы до 26.05 включительно, вторая позиция должна была попасть в отгрузку в 9 машину (@Anna Bodrenkova, проверь, плиз).
Aculife One Day (30pk) (-0350) - позиция на приемке из 6 трака, по плану приемка должна быть закрыта 19.05
iWear oxygen (3pk) (-0575, -0800) – первая позиция должна была попасть в отгрузку в 9 машину (@Anna Bodrenkova, проверь, плиз). Вторая позиция попала в БО из-за заказа Линзмастера 17.05, заказ на позицию в ДП будет размещен в ближайшее время.</t>
      </text>
    </comment>
    <comment ref="DJ1" authorId="20" shapeId="0" xr:uid="{08C67679-F10D-440F-AD6D-636C7079D850}">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Сфере Бренд произошло в связи с уменьшением стока по продукту Proclear  (6pk) – всего 22 позиции, находились в красной зоне и только сейчас получили лицензию на вывоз из ДП. Практически все поедут в машине 12 – приход на склад 1-2 августа и затем сразу в приоритет на приемку.
По сфере всего 98 выпавших диоптрий, из них 69% – неходовые продукты из категорий B и С.
Из категории А (по штукам) всего 30 артикулов.
Из “красных” продуктов 22 позиций всего, лицензию получили, бОльшая часть (14 позиций) выезжает в машине 12 с приходом на склад 2-3 августа, далее приоритет на приемку. Остальные будем отгружать в следующих поставках.
</t>
      </text>
    </comment>
    <comment ref="DK1" authorId="21" shapeId="0" xr:uid="{F9042F62-D183-4EB2-A4D0-F9E28D113C45}">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Сфере ЧМ и ХБ произошло в связи с уменьшением стока по продуктам WB Fanfilcon A (6pk)  - 26 позиций  - практически все едут в машине 12 – приход на склад 1-2 августа, затем поставим в приоритет
И WB Somofilcon A (6pk) – 10 позиций – так же все едут в машине 12, по приходу поставим в приоритет.
По сфере всего 101 выпавших диоптрий, из них 68% – неходовые продукты из категорий B и С.
Из категории А (по штукам) всего 32 артикула.
2 позиции приехали в машине 11 25 июля – необходимо проверить, что они в приоритете на приемку @Anna Bodrenkova
</t>
      </text>
    </comment>
    <comment ref="DL1" authorId="22" shapeId="0" xr:uid="{BEC63565-C373-4E0E-A56B-4A3985446C93}">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Сфере ЧМ и ХБ произошло в связи с уменьшением стока по продукту WB Fanfilcon A (6pk)  - 60 позиций (8 из которых категории А, остальное это плюсовые непопулярные позиции)  - практически все едут в машине 12 – приход на склад 4-5 августа, затем поставим в приоритет номер 1!!! @Anna Bodrenkova
И WB Somofilcon A (6pk) – 16 позиций – так же все едут в машине 12, по приходу поставим в приоритет.
Ухудшение ситуации по сложным линзам Бренд произошло в связи с уменьшением стока по продуктам Clariti 1 Day multifocal (30pk) и Avaira Vitality toric (6pk)
По сфере всего 125 выпавших диоптрий, из них 70% – неходовые продукты из категорий B и С.
Из категории А (по штукам) всего 38 артикулов.
3 позиции приехали в машине 11 – необходимо проверить, что они в приоритете на приемку @Anna Bodrenkova
</t>
      </text>
    </comment>
    <comment ref="EH1" authorId="23" shapeId="0" xr:uid="{6C918EF9-C49F-4436-B759-C3F57FD07A98}">
      <text>
        <t xml:space="preserve">[Threaded comment]
Your version of Excel allows you to read this threaded comment; however, any edits to it will get removed if the file is opened in a newer version of Excel. Learn more: https://go.microsoft.com/fwlink/?linkid=870924
Comment:
    Приемка поработала хорошо на праздниках – по всем группам товаров улучшение!
По сфере всего 103 выпавших диоптрий (95 – Revenue и 8 FOC), из них 15,4% – ходовые продукты из категории А.
Категория А  (по штукам) включает в себя 14 артикулов (10 Revenue  и 4 FOC).
4 позиции на приемке в машине 21– машина пришла на склад 13 ноября – уже в приоритете на приемку.
9 позиций приехали в машине 22 13 декабря на БОМИ – уже в приоритете на приемку.
Оставшаяся 1 позиция Airway Ophtalmix Profi (6pk) (-0275) поедет уже в первых машинах  в ближайшее время – ожидаем отгрузку из ДП на следующей неделе и приход на склад БОМИ в конце января, далее время на приемку..
</t>
      </text>
    </comment>
    <comment ref="EJ1" authorId="24" shapeId="0" xr:uid="{3AFC7327-D1D4-4D8B-BAB3-36FB577786FC}">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Сфере ЧМ и ХБ  произошло в связи с уменьшением стока по продукту WB Fanfilcon A (6pk) – все позиции находятся на приемке из машины 1, которая прибыла на БОМИ 23 января – идет приемка.
Ухудшение ситуации по сложным линзам Бренд  произошло в связи с уменьшением стока по продуктам Biofinity multifocal (3 pk)
По сфере всего 116 выпавших диоптрий (109 – Revenue и 17 FOC), из них 19,82% – ходовые продукты из категории А.
Категория А  (по штукам) включает в себя 23 артикулов (20 Revenue  и 3 FOC). Здесь не учитываю диагностику по май дэй, так как пока не продаем и не поставляем.
1 позиция Airway Premium (3pk) (-0300) – 532 упаковки приехали в машине 23 – проверить, есть ли в  приоритете на приемку 
6 позиций приехали 23 января на БОМИ в машине 1 – поставить в приоритет 
Оставшиеся 2 позиции выехали из Дельта Парка в машине 2 22 января – на БОМи поступит примерно 1-2 февраля и затем сразу в приоритет
</t>
      </text>
    </comment>
    <comment ref="EL1" authorId="25" shapeId="0" xr:uid="{338ACF24-14FE-4C21-A7BC-2AD1306433DC}">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Сфере ЧМ и ХБ   произошла в связи с уменьшением стока по продукту WB Fanfilcon A (6pk) – все позиции находятся на приемке из 1 машины – по возможности приоритезируем @Anna Bodrenkova
Ухудшение ситуации по сложным линзам ЧМ и ХБ  произошла в связи с уменьшением стока по продукту WB Comfilcon A multifocal BF (3 pk)
Ухудшение ситуации по Сфере Диагностика  произошла в связи с уменьшением стока по продукту Diag Clariti elite (3pk) – 6 плюсовых позиций категории В и С – все едут в транзите в 3 машине – на БОМИ 13-15 февраля, затем приемка
Ухудшение ситуации по сложным линзам Диагностика  произошла в связи с уменьшением стока по продукту Diag Biofinity Multifocal (1pk) – практические все позиции находятся на приемке из машины 23.
По сфере всего 106 выпавших диоптрий (100 – Revenue и 6 FOC), из них 17,92% – ходовые продукты из категории А.
Категория А  (по штукам) включает в себя 19 артикулов (19 Revenue  и 0 FOC). 
</t>
      </text>
    </comment>
    <comment ref="EN1" authorId="26" shapeId="0" xr:uid="{A20DB10F-015A-4A2B-BF14-95007A09B2CB}">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Сфере Диагностика  произошла в связи с уменьшением стока по продукту Diag Clariti 1day (5pk)– 6 минусовых позиций категории А – все находятся на приемке из машины 1 (только одна позиция из машины 3) – ускоряем по возможности @Anna Bodrenkova
По сфере всего 55 выпавших диоптрий (44 – Revenue и 11 FOC), из них 16,25% – ходовые продукты из категории А.
Категория А  (по штукам) включает в себя 11 артикулов (5 Revenue  и 6 FOC). 
1 позиция WB Comfilcon (3pk) (+0200) на приемке из машины 2 - ускоряем по возможности @Anna Bodrenkova
Оставшиеся 5 позиций на приемке из машины 3 – машина приехала на склад 16 февраля - ставим в приоритет @Anna Bodrenkova
</t>
      </text>
    </comment>
    <comment ref="EY1" authorId="27" shapeId="0" xr:uid="{1A2EB277-FA04-4FD9-8712-863559B357A2}">
      <text>
        <t xml:space="preserve">[Threaded comment]
Your version of Excel allows you to read this threaded comment; however, any edits to it will get removed if the file is opened in a newer version of Excel. Learn more: https://go.microsoft.com/fwlink/?linkid=870924
Comment:
    Незначительное ухудшение ситуации по сложным линзам ЧМ и ХБ  произошло в связи с уменьшением стока по продукту WB Stenfilcon A toric 54% 1 Day MD (30pk) - все позиции находятся на приемке, постепенно появятся на стоке. Продукт сложный - проблем нет.
Незначительное ухудшение ситуации по сложным линзам Бренд  произошло в связи с уменьшением стока по продукту MyDay Toric (30pk) - все позиции находятся на приемке, постепенно появятся на стоке. Продукт сложный - проблем нет.
Незначительное ухудшение ситуации по сложным линзам Диагностика  произошло в связи с уменьшением стока по продукту Diag Biofinity Multifocal (1pk) - все позиции находятся на приемке, постепенно появятся на стоке. Продукт сложный - проблем нет.
По сфере всего 53 выпавших диоптрий (51 – Revenue и 2 FOC), из них 5,66% – ходовые продукты из категории А.
Категория А  (по штукам) включает в себя 3 артикула (1 Revenue  2  FOC).  
</t>
      </text>
    </comment>
    <comment ref="EZ1" authorId="28" shapeId="0" xr:uid="{1948D64A-841E-4F48-8899-ED37AF8AF303}">
      <text>
        <t xml:space="preserve">[Threaded comment]
Your version of Excel allows you to read this threaded comment; however, any edits to it will get removed if the file is opened in a newer version of Excel. Learn more: https://go.microsoft.com/fwlink/?linkid=870924
Comment:
    Незначительное ухудшение ситуации по сфере ЧМ и ХБ  произошло в связи с уменьшением стока по продукту WB Stenfilcon A 54% 1 Day MD (30pk) - все 7 позиций находятся на приемке, постепенно появятся на стоке. Проблем нет. По 1 позиции категории А информация ниже.
По сфере всего 45 выпавших диоптрий (44 – Revenue и 1 FOC), из них 15,56% – ходовые продукты из категории А.
Категория А  (по штукам) включает в себя 7 артикулов (6 Revenue  1  FOC).  
Информация ниже – преимущественно все находятся в 9 машине – проверить, что в приоритете на приемку @Anna Bodrenkova. 
По -0700 Биофинити 3пк – в транзите в машине 10 – ждем приход.
</t>
      </text>
    </comment>
    <comment ref="FI1" authorId="29" shapeId="0" xr:uid="{301D6F4D-DD47-4054-8447-D5509F5D63C7}">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продуктам:
Сфера Бренд. Незначительное уменьшение стока Proclear  (6pk) – 4 плюсовые позиции категории В и С, все приехали в 15 машине –  сток будет принят в течение августа. Так как позиции не популярные, то приоритет не нужен.
Сложные линзы Бренд.  Уменьшение стока MyDay Toric (30pk) - продукт сложный, практически все позиции в приемке из 15 машины и будут на стоке в течение августа.
Сложные линзы Диагностика. Уменьшение стока Diag Biofinity Multifocal (1pk) – продукт сложный, все позиции в приемке из 15 машины и будут на стоке в течение августа.
По сфере всего 22 выпавших диоптрий (22 – Revenue и 0 FOC).
Из них 6 диоптрий из категории А (27,27%), информация по ним ниже:
</t>
      </text>
    </comment>
    <comment ref="FJ1" authorId="30" shapeId="0" xr:uid="{704077EA-753B-4683-9F0A-E0F0D91E7750}">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продуктам:
Сложные линзы ЧМ и ХБ.  Уменьшение стока WB Comfilcon A multifocal BF (3 pk)- продукт сложный, все позиции в приемке из 14-15 машин и будут на стоке в течение августа.
По сфере всего 16 выпавших диоптрий (16 – Revenue и 0 FOC).
Из них 3 диоптрий из категории А (18,75%), информация по ним ниже:
Product	Active SKU	14,15 trucks	6 truck	DP open orders	Комментарий
MyDay (30pk)_Bespoke	LMDAY1BI84-0225	0	0	636	 Стоп на НОВЫЕ заказы с 31.07.2024 года. Уже заказанные количества будут выезжать в следующей машине на след неделе из ЮК, на складе в середине августа.
MyDay (30pk)_Bespoke	LMDAY1BI84-0850	0	0	106	Стоп на НОВЫЕ заказы с 31.07.2024 года. Уже заказанные количества будут выезжать в следующей машине на след неделе из ЮК, на складе в середине августа.
MyDay (90pk)LMYDY1BL84-022500100Стоп на НОВЫЕ заказы с 31.07.2024 года. Уже заказанные количества будут выезжать в следующей машине на след неделе из ЮК, на складе в середине августа.
Тогда по Май Дэй (сфера и торика) в дальнейшем так же будем смотреть, есть ли позиция в транзите или нет. Если есть – оставляем в отчете, если нет – то будем исключать из отчета и ставить статус Discontinued. Верно ? @Anna Bodrenkova  
</t>
      </text>
    </comment>
    <comment ref="FK1" authorId="31" shapeId="0" xr:uid="{D2C1A525-58F0-42E3-AD78-8A38879DD725}">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продуктам:
Сложные линзы ЧМ и ХБ.  Уменьшение стока WB Comfilcon A multifocal BF (3 pk)- продукт сложный, практически все позиции на приемке из машины 15.  На стоке будут до конца августа.
Сфера Бренд.  Уменьшение стока Clariti 1 Day (30pk)_Bespoke – 4 позиции поедут в транзите в машине 16 – выезд из ДП 09 августа, на складе 21-23 августа - затем ставим в приоритет @Anna Bodrenkova
Сложные линзы Бренд.  Уменьшение стока Biofinity multifocal (3 pk)- продукт сложный, практически все позиции на приемке из машины 15.  На стоке будут до конца августа.
Сложные линзы Диагностика.  Уменьшение стока Diag Biofinity Multifocal (1pk) - продукт сложный, практически все позиции на приемке из машины 15.  На стоке будут до конца августа.
По сфере всего 17 выпавших диоптрий (17 – Revenue и 0 FOC).
Из них 6 диоптрий из категории А (35,29%), информация по ним ниже:
Product	Active SKU	16 truck	Комментарий
Clariti 1 Day (30pk)_Bespoke	LCRUSDSI86-0525	438	Количества выезжают из ДП в машине 16 9 августа, на складе 21-23 августа, затем ставим в приоритет на приемку
Clariti 1 Day (30pk)_BespokeLCRUSDSI86-0800199Количества выезжают из ДП в машине 16 9 августа, на складе 21-23 августа, затем ставим в приоритет на приемку
MyDay (30pk)_BespokeLMDAY1BI84-0225315 Стоп на НОВЫЕ заказы с 31.07.2024 года. Данные уже заказанные давно количества выезжают из ДП в машине 16 9 августа, на складе 21-23 августа, затем ставим в приоритет на приемку
MyDay (30pk)_BespokeLMDAY1BI84-0350598 Стоп на НОВЫЕ заказы с 31.07.2024 года. Данные уже заказанные давно количества выезжают из ДП в машине 16 9 августа, на складе 21-23 августа, затем ставим в приоритет на приемку
MyDay (30pk)_BespokeLMDAY1BI84-0525211 Стоп на НОВЫЕ заказы с 31.07.2024 года. Данные уже заказанные давно количества выезжают из ДП в машине 16 9 августа, на складе 21-23 августа, затем ставим в приоритет на приемку
MyDay (90pk)LMYDY1BL84-0225100 Стоп на НОВЫЕ заказы с 31.07.2024 года. Данные уже заказанные давно количества выезжают из ДП в машине 16 9 августа, на складе 21-23 августа, затем ставим в приоритет на приемку
</t>
      </text>
    </comment>
    <comment ref="FS1" authorId="32" shapeId="0" xr:uid="{2E897377-E210-41CE-B611-7E515D093D18}">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Сфера ЧМ и ХБ (включая препринт).  Уменьшение стока по продукту WB Stenfilcon A 54% 1 Day MD (30pk)– уменьшение незначительное.  2 позиции категории А (тянутся с прошлой недели) – в приоритете, примут в ближайшее время. 1 позиция категории В – находится в транзите в 19 машине – на склад поступит примерно 7-8 октября, затем на стоке будет в течение октября – не проблема.
Сфера Бренд. Уменьшение стока по продукту Proclear 1 day (30pk) – 2 позиции, находятся на приемке из 17 и 18 машин, до конца октября на стоке. Не проблема.
Сфера Диагностика. Уменьшение стока по продукту Diag MiSight 1 Day (5 pk) – 1 позиция категории А – комментарий ниже.
Сложные линзы Диагностика.  Уменьшение стока Diag Biofinity Multifocal (1pk)- продукт сложный, из 87 позиций 66 в машине 17. На стоке до конца октября. Не проблема
По сфере всего 24 выпавших диоптрий (23 Revenue и 1 FOC).
Из них 7 диоптрий из категории А (29,17%), информация по ним ниже:
</t>
      </text>
    </comment>
    <comment ref="FT1" authorId="33" shapeId="0" xr:uid="{83ABBA8E-CBE0-4B53-A7D1-1FD2771B1992}">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Сфера ЧМ и ХБ (включая препринт).  Уменьшение стока по продукту WB Stenfilcon A 54% 1 Day MD (30pk)– 6 позиций, 5 из них категории А. 2 позиции будут выезжать в машине 20 в ближайшую неделю из ДП, по приезду в конце октября поставим в приоритет на приемку. Оставшиеся 4 позиции на приемке из машины 19 – все в приоритете, 2 из них будут приняты в рамках доп приемки на выходные 12-13 октября (согласовано).
Сложные линзы ЧМ и ХБ (включая препринт).  Уменьшение стока по продукту WB Comfilcon A toric BF (3pk) –  из 146 позиций 126 на приемке из машины 18 – до конца октября будут на стоке – не проблема.
Сфера Бренд. Уменьшение стока по продукту Biofinity XR (3 pk)– 1 позици категории B, находится на приемке из 19  машины, до конца октября на стоке. Не проблема. 
Сложные линзы Бренд.  Уменьшение стока Biofinity Toric (3 pk) (new) - продукт сложный, большинство позиций находятся на приемке из 18-19 машин. На стоке до конца октября. Не проблема
Сфера Диагностика. Уменьшение стока по продукту Diag MiSight 1 Day (5 pk) – 2 позиции категории А – комментарий ниже.
По сфере всего 26 выпавших диоптрий (24 Revenue и 2 FOC).
Из них 7 диоптрий из категории А (26,92%), информация по ним ниже:
</t>
      </text>
    </comment>
    <comment ref="FV1" authorId="34" shapeId="0" xr:uid="{307449FA-8906-4328-A61A-B47DE817DBCC}">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Сфера ЧМ и ХБ (включая препринт).  Уменьшение стока по продукту iWear harmony (30pk) – 11 позиций в итоге  ушли в БО в связи с доп квотой на отгрузку в октябре (сильное превышение отгрузок). Поставку ожидаем во второй половине ноября. 
Сфера Бренд. Уменьшение стока по продукту Biofinity XR (3 pk) – 4 позиции, приемка в целом до 30 октября.
Сложные линзы Бренд. Уменьшение стока по продукту Biofinity Toric (3 pk) (new) – продукт сложный, не проблема, в поставках есть и на приемке так же 
Сложные линзы Диагностика. Уменьшение стока по продукту Diag Biofinity Toric (1pk) –сложный продукт, большинство будет принято до конца ноября – не проблема.
По сфере всего 53 выпавших диоптрий (50 Revenue и 3 FOC).
Из них 25 диоптрий из категории А (47,17%), информация по ним ниже:
</t>
      </text>
    </comment>
    <comment ref="FW1" authorId="35" shapeId="0" xr:uid="{B513CA0D-4F6E-4393-B242-972271D6FF11}">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Сфера ЧМ и ХБ (включая препринт).  Уменьшение стока по продукту WB Stenfilcon A 54% 1 Day MD (30pk)– всего 13 позиций, бОльшинство находится в 20 машине – в приоритете, в ближайшее время примут на сток.
Сложные линзы ЧМ и ХБ (включая препринт). Уменьшение стока по продукту WB Comfilcon A multifocal BF (3 pk) – 16 позиций категории В и С, на стоке будут в первоц половине ноября – не проблема.
Сложные линзы Бренд. Уменьшение стока по продукту Biofinity multifocal (3 pk)– продукт сложный, не проблема, в поставках есть и на приемке так же 
Сложные линзы Диагностика. Уменьшение стока по продукту Diag Biofinity Multifocal (1pk) –сложный продукт, большинство будет принято до конца ноября – не проблема.
По сфере всего 53 выпавших диоптрий (51 Revenue и 2 FOC).
Из них 27 диоптрий из категории А (50,94%), информация по ним ниже:
</t>
      </text>
    </comment>
    <comment ref="FX1" authorId="36" shapeId="0" xr:uid="{872EC8DF-7E68-407E-A00E-D1B63C1861E2}">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Сложные линзы ЧМ и ХБ (включая препринт). Уменьшение стока по продукту WB Comfilcon A toric BF (3pk) – сложный продукт, позиции категории В и С, на приемке и в транзите есть – не проблема.
Сфера Диагностика. Уменьшение стока по продукту Diag Clariti 1day (5pk)– 2 плюсовые позиции категории В, есть на приемке – не проблема.
По сфере всего 43 выпавших диоптрий (40 Revenue и 3 FOC).
Из них 17 диоптрий из категории А (39,53%), информация по ним ниже:
</t>
      </text>
    </comment>
    <comment ref="GA1" authorId="37" shapeId="0" xr:uid="{41A994E0-202F-4B46-BA22-A064B58361F6}">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Сфера ЧМ и ХБ (включая препринт). Уменьшение стока по продукту Aculife One Day (30pk)– была перезатарка клиента перед новым годом, следующий заказ ожидаем в январе. Сток приедет в 25 машине в середине декабря, приемка до середины января.
Сложные линзы Диагностика. Уменьшение стока по продукту Diag Biofinity Multifocal (1pk)– сложный продукт, паллету из 20 машины отставили на приемку в начале-середине декабря.
По сфере всего 51 выпавших диоптрий (47 Revenue и 4 FOC).
Из них 17 диоптрий из категории А (33,33%), информация по ним ниже:
</t>
      </text>
    </comment>
    <comment ref="GB1" authorId="38" shapeId="0" xr:uid="{A4911875-C3A7-4DC2-8C21-B9876D6C93AE}">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Сфера ЧМ и ХБ (включая препринт). Уменьшение стока по продукту iWear Activ (30pk)–  4 непопулярные позиции категории С – находятся в 24-25 машинах, не проблема.
Сложные линзы ЧМ и ХБ (включая препринт). Уменьшение стока по продукту WB Somofilcon A toric 56% 1 Day (30pk)– продукт сложный, уменьшение незначительное, не проблема.
Сфера Диагностика. Уменьшение стока по продукту Diag Clariti 1day (5pk)– 1 позиция категории А, 4 позиции категории В – все на приемке из 23 машины – в ближайшее время будет на стоке.
Сложные линзы Диагностика. Уменьшение стока по продукту Diag Biofinity Multifocal (1pk)– сложный продукт, паллету из 20 машины отставляли на приемку в начале-середине декабря, в декабре примут.
По сфере всего 46 выпавших диоптрий (41 Revenue и 5 FOC).
Из них 17 диоптрий (позиции повторяют на 95% прошлую неделю) из категории А (36,96%), информация по ним ниже:
</t>
      </text>
    </comment>
    <comment ref="GC1" authorId="39" shapeId="0" xr:uid="{D985681E-8CE1-483C-B0B3-5F1BEE164A7F}">
      <text>
        <t xml:space="preserve">[Threaded comment]
Your version of Excel allows you to read this threaded comment; however, any edits to it will get removed if the file is opened in a newer version of Excel. Learn more: https://go.microsoft.com/fwlink/?linkid=870924
Comment:
    Приемка хорошо поработала)
По сфере всего 38 выпавших диоптрий (37 Revenue и 1 FOC).
Из них 13 диоптрий (позиции повторяют на 77% прошлую неделю) из категории А (34,21%), информация по ним ниже:
</t>
      </text>
    </comment>
    <comment ref="GD1" authorId="40" shapeId="0" xr:uid="{CE5CE3D1-AF39-4B05-834D-3095B71C5FB7}">
      <text>
        <t xml:space="preserve">[Threaded comment]
Your version of Excel allows you to read this threaded comment; however, any edits to it will get removed if the file is opened in a newer version of Excel. Learn more: https://go.microsoft.com/fwlink/?linkid=870924
Comment:
    Приемка хорошо поработала)
По сфере всего 38 выпавших диоптрий (37 Revenue и 1 FOC).
Из них 13 диоптрий (позиции повторяют на 77% прошлую неделю) из категории А (34,21%), информация по ним ниже:
</t>
      </text>
    </comment>
    <comment ref="GE1" authorId="41" shapeId="0" xr:uid="{7B4C4763-9182-468A-93CD-677DAADDD7CD}">
      <text>
        <t xml:space="preserve">[Threaded comment]
Your version of Excel allows you to read this threaded comment; however, any edits to it will get removed if the file is opened in a newer version of Excel. Learn more: https://go.microsoft.com/fwlink/?linkid=870924
Comment:
    Приемка хорошо поработала)
По сфере всего 38 выпавших диоптрий (37 Revenue и 1 FOC).
Из них 13 диоптрий (позиции повторяют на 77% прошлую неделю) из категории А (34,21%), информация по ним ниже:
</t>
      </text>
    </comment>
    <comment ref="GH1" authorId="42" shapeId="0" xr:uid="{97628ACC-FBF4-4815-BCCF-2B68DA68FB51}">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Сложные линзы ЧМ и ХБ (включая препринт). Уменьшение стока по продукту WB Stenfilcon A toric 54% 1 Day MD (30pk) – сложный продукт, не проблема.
Сфера Бренд. Уменьшение стока по продукту  Proclear 1 day (30pk) – позиции в 1 и 2 машине, стоят в приоритете.
Сложные линзы Бренд. Уменьшение стока по продукту  Clariti 1 Day toric (30pk) - сложный продукт, не проблема.
Сфера Диагностика. Уменьшение стока по продукту  Diag MiSight 1 Day (5 pk) - позиции в 1 машине, стоят в приоритете.
Сложные линзы Диагностика. Уменьшение стока по продукту  Diag Biofinity Multifocal (1pk) - сложный продукт, не проблема.
</t>
      </text>
    </comment>
    <comment ref="GI1" authorId="43" shapeId="0" xr:uid="{E119B805-4408-45B2-B352-255390E542BB}">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Сфера Бренд. Уменьшение стока по продукту Biofinity Energys (3pk) – 18 плюсовых позиции категории С – в транзите, проблем нет.
Сложные линзы Бренд. Уменьшение стока по продукту Clariti 1 Day multifocal (30pk) – 1 позиция категории В, на приемке есть, сложный продукт, не проблема.
Сфера Диагностика. Уменьшение стока по продукту  Diag MiSight 1 Day (5 pk) – 5 позиций категории А, в приоритете, в ближайшее время будет на стоке.
Сложные линзы Диагностика. Уменьшение стока по продукту  Diag Biofinity Toric (1pk) - сложный продукт, не проблема.
По сфере всего 64 выпавших диоптрий (59 Revenue и 4 FOC). 
</t>
      </text>
    </comment>
    <comment ref="GQ1" authorId="44" shapeId="0" xr:uid="{0D67C9D9-7ED8-427C-B224-7B5CCA08B520}">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Сфера ЧМ и ХБ (включая препринт). Уменьшение стока по продукту iWear Activ (30pk) (new) – 6 неходовых позиций категории С – ожидаем в след машине – приезд в конце апреля – не проблема.
Сложные линзы Диагностика. Уменьшение стока по продукту Diag MyDay Toric (5pk) – сложный продукт, позиции категории В и С – бОльшая часть на приемке – скоро появится на стоке, часть на производстве.
По сфере всего 43 выпавших диоптрий (36 Revenue и 7 FOC). 
Из них 3 диоптрии из категории А (6,98%), 
</t>
      </text>
    </comment>
    <comment ref="GW1" authorId="45" shapeId="0" xr:uid="{8ED6579C-00B4-4E97-8D32-6D4B60B8E3E3}">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Сфера ЧМ и ХБ (включая препринт). Уменьшение стока по продукту Biosoft Premium (3pk) – после списания по срокам годности вылезли 6 неходовых позиций категории С  ООС, БО по ним нет, все заказаны на производстве – проблем вообще нет.
По сфере всего 89 выпавших диоптрий (85 Revenue и 4 FOC). 
Из них 16 диоптрий из категории А (17,98%), 
</t>
      </text>
    </comment>
    <comment ref="GX1" authorId="46" shapeId="0" xr:uid="{585DF15C-68EC-46CA-B1AB-9DF0A9F12CCC}">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Сфера ЧМ и ХБ (включая препринт). Уменьшение стока по продукту Biosoft Premium (3pk) – 13 неходовых позиций категории С, 5 из которых едут в 12 машине – 10-12 июля машина прибудет на склад, приемка в спокойном режиме, проблем нет.
Сложные линзы ЧМ и ХБ (включая препринт). Уменьшение стока по продукту WB Comfilcon A toric BF (3pk) – продукт сложный, все заказано и бОльшая часть уже едет в машине 12 – проблем нет.
Сфера Бренд. Уменьшение стока по продукту Proclear  (6pk). Данный продукт выводится из ассортимента с конца ноября 2025. Об этом сообщили клиентам в июне и пошел oversales.  Продукт убрали из автоматического пополнения, наша цель – иметь максимально низкие стоки к моменту hard стоп продаж.  Сейчас из 36 позиций 19 едут в машине 12, в середине июля по приоритету поступят на сток.
Сложные линзы Бренд. Уменьшение стока по продукту Biofinity multifocal (3 pk) – сложный продукт, категории С, бОльшая часть на приемке из 11 и в транзите в 12 машине – не проблема
Сложные линзы Диагностика. Уменьшение стока по продукту Diag MyDay Toric (5pk) – незначительное уменьшение, проблем нет.
По сфере всего 116 выпавших диоптрий (115 Revenue и 1 FOC). 
</t>
      </text>
    </comment>
    <comment ref="GY1" authorId="47" shapeId="0" xr:uid="{81EF4BBB-2047-4C62-94EF-0004F0800621}">
      <text>
        <t xml:space="preserve">[Threaded comment]
Your version of Excel allows you to read this threaded comment; however, any edits to it will get removed if the file is opened in a newer version of Excel. Learn more: https://go.microsoft.com/fwlink/?linkid=870924
Comment:
    Сфера ЧМ и ХБ (включая препринт). Уменьшение стока по продукту Airway Premium 1 Day (30 pk) – незапланированное перевыполнение плана. Заказ разместили, план гипериона поправим с июльского сабмишшна. Данные БО закроем в сентябре.
Сложные линзы ЧМ и ХБ (включая препринт). Уменьшение стока по продукту WB Somofilcon A toric 56% 1 Day (30pk) – продукт сложный, многие позиции приехали  в машине 12, приемка идет – проблем нет.
Сфера Бренд. Уменьшение стока по продукту Proclear  (6pk). Данный продукт выводится из ассортимента с конца ноября 2025. Об этом сообщили клиентам в июне и пошел oversales.  Продукт убрали из автоматического пополнения, наша цель – иметь максимально низкие стоки к моменту hard стоп продаж.  Некоторые позиции приехали в машине 12 – идет приемка, в остальном размещен заказ с покрытием до конца ноября – ожидаем сток в августе.
Сложные линзы Диагностика. Уменьшение стока по продукту Diag Biofinity Multifocal (1pk)– незначительное уменьшение, проблем нет.
</t>
      </text>
    </comment>
    <comment ref="GZ1" authorId="48" shapeId="0" xr:uid="{AC620A60-47B9-4E4D-AD1E-8438C09298EA}">
      <text>
        <t xml:space="preserve">[Threaded comment]
Your version of Excel allows you to read this threaded comment; however, any edits to it will get removed if the file is opened in a newer version of Excel. Learn more: https://go.microsoft.com/fwlink/?linkid=870924
Comment:
    Сложные линзы ЧМ и ХБ (включая препринт). Уменьшение стока по продукту WB Comfilcon A toric BF (3pk) незначительное – продукт сложный, многие позиции приехали  в машине 12, приемка идет – проблем нет.
Сфера Бренд. Уменьшение стока по продукту Proclear  (6pk). Данный продукт выводится из ассортимента с конца ноября 2025. Об этом сообщили клиентам в июне и пошел oversales.  Продукт убрали из автоматического пополнения, наша цель – иметь максимально низкие стоки к моменту hard стоп продаж.  Некоторые позиции приехали в машине 12 – идет приемка, в остальном размещен заказ с покрытием до конца ноября – ожидаем сток в августе.
Сложные линзы Бренд. Уменьшение стока по продукту MyDay Toric (30pk) незначительное – продукт сложный, многие позиции приехали  в машине 12, приемка идет – проблем нет.
Сложные линзы Диагностика. Уменьшение стока по продукту Diag Biofinity Toric (1pk) - незначительное уменьшение, проблем нет
</t>
      </text>
    </comment>
    <comment ref="HA1" authorId="49" shapeId="0" xr:uid="{5AB9791E-59EB-4749-9992-62A94544D2FA}">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Сфера ЧМ и ХБ (включая препринт). Уменьшение стока по продукту WB Comfilcon asphere (3pk) – позиции находятся в 13 машине, машина не может выехать по техническим проблемам уже 3 недели.
Сфера Бренд. Уменьшение стока по продукту Proclear  (6pk). Данный продукт выводится из ассортимента с конца ноября 2025. Об этом сообщили клиентам в июне и пошел oversales.  Продукт убрали из автоматического пополнения, наша цель – иметь максимально низкие стоки к моменту hard стоп продаж.  Размещен заказ с покрытием до конца ноября – ожидаем сток в августе.
Сложные линзы Бренд. Уменьшение стока по продукту Clariti 1 Day multifocal (30pk) незначительное – продукт сложный, всего 4 позиции категории В и С – 2 из которых поедут в машине 13.
Сфера Диагностика. Уменьшение стока по продукту Diag Proclear 1 day (5pk) - незначительное уменьшение, 1 позиция категории С, проблем нет.
</t>
      </text>
    </comment>
    <comment ref="HB1" authorId="50" shapeId="0" xr:uid="{6EC590EF-63BB-495A-9859-6BE18B6AD081}">
      <text>
        <t xml:space="preserve">[Threaded comment]
Your version of Excel allows you to read this threaded comment; however, any edits to it will get removed if the file is opened in a newer version of Excel. Learn more: https://go.microsoft.com/fwlink/?linkid=870924
Comment:
    Сфера ЧМ и ХБ (включая препринт). Уменьшение стока по продуктам Biosoft Premium (3pk)  и WB Comfilcon asphere (3pk) после списания стока по срокам годности 30 июля. Здесь все позиции категории С – все они заказаны и едут в машинах – проблем нет.
Сложные линзы ЧМ и ХБ (включая препринт). Уменьшение стока по продукту WB Comfilcon A toric BF (3pk) – сложный продукт, все заказано и едет
Сфера Бренд. Уменьшение стока по продукту MiSight 1 day (90pk) – 2 позиции категории С – одна едет в машине 13, вторая поедем позже. Проблем не вижу
Сложные линзы Бренд. Уменьшение стока по продукту Biofinity Toric (3 pk) (new)– продукт сложный, все заказано и едет 
Сфера Диагностика. Уменьшение стока по продукту Diag Avaira Vitality (3pk) - 2 позиции категории С – одна едет в машине 13, вторая поедем позже. Проблем не вижу
Сложные линзы Диагностика. Уменьшение стока по продукту Diag Biofinity Toric (1pk) – продукт сложный, все заказано и едет
</t>
      </text>
    </comment>
    <comment ref="HC1" authorId="51" shapeId="0" xr:uid="{408B5B29-5553-4F91-B9DA-E82C6D41BE50}">
      <text>
        <t xml:space="preserve">[Threaded comment]
Your version of Excel allows you to read this threaded comment; however, any edits to it will get removed if the file is opened in a newer version of Excel. Learn more: https://go.microsoft.com/fwlink/?linkid=870924
Comment:
    Коллеги, я убрала семейство Проклиар из отчета, так как август – последний месяц размещения клиентами заказов и сейчас оооочень много БО – ситуация очень сильно будет искажена, поэтому лучше исключить вовсе. За счет того, что убрала продукт – видим зеленые +4% к прошлому отчету по сфере Бренду.
Ухудшение ситуации по продукту:
Сфера ЧМ и ХБ (включая препринт). Уменьшение стока по продукту WB Somofilcon A 56% 1 day (30pk) – 2 позиции категории С – проблем не вижу.
Сложные линзы ЧМ и ХБ (включая препринт). Уменьшение стока по продукту WB Comfilcon A toric BF (3pk) – сложный продукт, все заказано и едет
Сложные линзы Бренд. Уменьшение стока по продукту Clariti 1 Day multifocal (30pk) - продукт сложный, все заказано и едет 
Сложные линзы Диагностика. Уменьшение стока по продукту Diag Biofinity Multifocal (1pk) – продукт сложный, все заказано и едет
По сфере всего 145 выпавших диоптрий (143 Revenue и 2 FOC). 
Из них 39 диоптрий из категории А (26,9%), информация по ним ниже:
Обращаю внимание, что выделенные красным 29 позиций приехали в машине 13, которая была задержана на 3 недели, приемка в приоритете – в ближайшие недели будут на стоке.
</t>
      </text>
    </comment>
    <comment ref="HD1" authorId="52" shapeId="0" xr:uid="{085F0BA3-C6B7-421E-B1C7-20915B1F0801}">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Сложные линзы ЧМ и ХБ (включая препринт). Уменьшение стока по продукту WB Comfilcon A toric BF (3pk) – сложный продукт, все заказано и едет
Сфера Бренд.  Уменьшение стока по продукту Clariti 1 Day (90pk) – в связи с перевыполнением плана в июне и июле + задержка в поставках выпали позиции в ООС – ожидаем восстановление стока в конце сентября - октября
Сложные линзы Бренд. Уменьшение стока по продукту Clariti 1 Day multifocal (30pk) - продукт сложный, все заказано и едет  
Сложные линзы Диагностика. Уменьшение стока по продукту Diag Biofinity Multifocal (1pk) – продукт сложный, все заказано и едет 
По сфере всего 145 выпавших диоптрий (143 Revenue и 2 FOC). 
Из них 36 диоптрий из категории А (24,83%), 
</t>
      </text>
    </comment>
    <comment ref="HE1" authorId="53" shapeId="0" xr:uid="{BD2701D8-89F0-49BA-89E7-61BF6EE7F1C1}">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Сложные линзы ЧМ и ХБ (включая препринт). Уменьшение стока по продукту WB Comfilcon A toric BF (3pk) – сложный продукт, все заказано и едет
Сфера Бренд.  Уменьшение стока по продукту Clariti 1 Day (90pk) – в связи с значительным перевыполнением плана в июне -июле-августе + задержка в поставках выпали позиции в ООС – ожидаем восстановление стока в конце сентября – октября. Пока нет возможности поднять гиперион -только в начале сентября.
Сложные линзы Бренд. Уменьшение стока по продукту Clariti 1 Day multifocal (30pk) - продукт сложный, все заказано и едет  
Сложные линзы Диагностика. Уменьшение стока по продукту Diag Clariti 1day  multifocal (5pk) (new) – продукт сложный, все заказано и едет 
По сфере всего 158 выпавших диоптрий (156 Revenue и 2 FOC). 
Из них 38 диоптрий из категории А (24,05%), информация по ним ниже:
23 позиции находятся в машине 14 – выделены красным – на стоке в ближайшие недели
</t>
      </text>
    </comment>
    <comment ref="HF1" authorId="54" shapeId="0" xr:uid="{FCA094AF-26F4-46BF-82B4-040C11E057F9}">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Сфера ЧМ и ХБ (включая препринт). Уменьшение стока по продукту WB Comfilcon asphere (3pk) – преимущественно категория С – выпали после списания по срокам годности. В транзитах едут
Сложные линзы ЧМ и ХБ (включая препринт). Уменьшение стока по продукту WB Stenfilcon A toric 54% 1 Day MD (30pk) – преимущественно все едут в машине 16 – на стоке в конце сентября
Сфера Бренд.  Уменьшение стока по продукту Biofinity XR (3 pk) – 5 позиций, все в приоритете из 14 машины – до конца недели будут на стоке
Сложные линзы Бренд. Уменьшение стока по продукту Clariti 1 Day multifocal (30pk) – в 15 и 16 машинах продукт есть- до конца сентября будет на стоке
Сложные линзы Диагностика. Уменьшение стока по продукту Diag Biofinity Multifocal (1pk) – продукт сложный, все заказано и едет 
По сфере всего 157 выпавших диоптрий (155 Revenue и 2 FOC). 
Из них 39 диоптрий из категории А (24,84%), информация по ним ниже:
21 позиция приехала в машине 14 – выделены красным – на стоке в ближайшую неделю.
</t>
      </text>
    </comment>
    <comment ref="HG1" authorId="55" shapeId="0" xr:uid="{535433FD-FA83-41E5-8A71-86C4E19F750E}">
      <text>
        <t xml:space="preserve">[Threaded comment]
Your version of Excel allows you to read this threaded comment; however, any edits to it will get removed if the file is opened in a newer version of Excel. Learn more: https://go.microsoft.com/fwlink/?linkid=870924
Comment:
    В целом после приемки 14 машины мы подтянулись -это радует)) Ждем остальные машины
Ухудшение только по WB Comfilcon asphere (3pk) – там позиции категории С в основном, а позиции категории А приехали в машине 15 – ждем приемку. В приоритете
По сфере всего 155 выпавших диоптрий (153 Revenue и 2 FOC). 
Из них 39 диоптрий из категории А (25,16%), информация по ним ниже:
24 позиции приехала в машине 15 – выделены красным – на стоке в ближайшую неделю.
</t>
      </text>
    </comment>
    <comment ref="HH1" authorId="56" shapeId="0" xr:uid="{292A6373-FC47-4EC7-994E-E0B3CFFE8219}">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Сложные линзы Диагностика. Уменьшение стока по продукту Diag Biofinity Multifocal (1pk) – все позиции категории С, приехали – ожидаем приемку, не проблема
По сфере всего 113 выпавших диоптрий (112 Revenue и 1 FOC). 
Из них 36 диоптрий из категории А (31,86%), информация по ним ниже:
14 позиций будут на стоке до конца сентября – выделены красным
</t>
      </text>
    </comment>
    <comment ref="HI1" authorId="57" shapeId="0" xr:uid="{33C35D6B-F000-4811-B8BC-0CE76C51DE45}">
      <text>
        <t xml:space="preserve">[Threaded comment]
Your version of Excel allows you to read this threaded comment; however, any edits to it will get removed if the file is opened in a newer version of Excel. Learn more: https://go.microsoft.com/fwlink/?linkid=870924
Comment:
    В целом положительная динамика – что не может не радовать)) спасибо приемке!
Ухудшение ситуации по продукту:
Сложные линзы Диагностика. Уменьшение стока по продукту Diag Biofinity Multifocal (1pk) – все позиции категории С, приехали – ожидаем приемку, не проблема
По сфере всего 71 выпавших диоптрий (70 Revenue и 1 FOC). 
Из них 28 диоптрий из категории А (39,44%), информация по ним ниже:
</t>
      </text>
    </comment>
    <comment ref="HJ1" authorId="58" shapeId="0" xr:uid="{916F8E31-0C60-4D05-85B3-50F4AC5EABFB}">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Сфера ЧМ и ХБ (включая препринт). Уменьшение стока по продукту iWear Activ (30pk) (new)– писала информацию в разных письмах о нем. Причины – перевыполнение плана + наслоилась ошибка при расчете заказа на производство и, соответственно, задержка в размещении нужного заказа. Все заказано и приоритезировано по всем фронтам
Сложные линзы ЧМ и ХБ (включая препринт). Уменьшение стока по продукту iWear activ astigmatism (30 pk) – все позиции категории С, приехали – ожидаем приемку, не проблема
Сфера Бренд. Уменьшение стока по продукту MyDay (90pk) – часть позиций на приемке (приоритезировано) + часть едет в 20 машине – поставим в приоритет с доступностью в конце октября
Сложные линзы Бренд. Уменьшение стока по продукту Clariti 1 Day multifocal (30pk)– позиции категории С – все на приемке
Сфера Диагностика. Уменьшение стока по продукту Diag Avaira Vitality (3pk)– 2 позиции категории С, приехали – ожидаем приемку, не проблема
По сфере всего 97 выпавших диоптрий (95 Revenue и 2 FOC). 
Из них 34 диоптрий из категории А (35,05%), 
</t>
      </text>
    </comment>
    <comment ref="HK1" authorId="59" shapeId="0" xr:uid="{0C6A9690-FB48-4E4A-92CD-BF4E8658731E}">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Сфера Бренд. Уменьшение стока по продукту MyDay (90pk) – часть позиций на приемке (приоритезировано) + часть едет в 20 машине – все в в приоритете с доступностью в конце октября
По сфере всего 97 выпавших диоптрий (97 Revenue и 0 FOC). 
Из них 37 диоптрий из категории А (38,14%)
</t>
      </text>
    </comment>
    <comment ref="HL1" authorId="60" shapeId="0" xr:uid="{47F922DF-65C5-4267-9BF5-07869B1F5E45}">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Сфера ЧМ и ХБ (включая препринт). Уменьшение стока по продукту WB Stenfilcon A 54% 1 Day MD (30pk) – 4 позиции, все в приоритете на приемке – в ближайшее время будут на стоке.
Сфера Бренд. Уменьшение стока по продукту Biofinity XR (3 pk) – 5 позиций, все в приоритете на приемке – в ближайшее время будут на стоке.
Сложные линзы Диагностика. Уменьшение стока по продукту Diag Biofinity Toric (1pk) – позиции на приемке
По сфере всего 121 выпавшая диоптрия (121 Revenue и 0 FOC). 
Из них 48 диоптрий из категории А (39,67%), 
</t>
      </text>
    </comment>
    <comment ref="HM1" authorId="61" shapeId="0" xr:uid="{3D62C835-108E-4F8A-ADBE-D622663A0F63}">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Сложные линзы ЧМ и ХБ (включая препринт). Уменьшение стока по продукту WB Comfilcon A multifocal BF (3 pk)– все позиции на приемке – в течение ноября будут на стоке, не проблема.
Сложные линзы Бренд. Уменьшение стока по продукту Clariti 1 Day multifocal (30pk) – все позиции на приемке – в течение ноября будут на стоке, не проблема.
Сложные линзы Диагностика. Уменьшение стока по продукту Diag Biofinity Toric (1pk) – позиции на приемке
</t>
      </text>
    </comment>
    <comment ref="HN1" authorId="62" shapeId="0" xr:uid="{A7FDB394-CAE3-4C89-8453-91B61BFDFED8}">
      <text>
        <t xml:space="preserve">[Threaded comment]
Your version of Excel allows you to read this threaded comment; however, any edits to it will get removed if the file is opened in a newer version of Excel. Learn more: https://go.microsoft.com/fwlink/?linkid=870924
Comment:
    Сложные линзы ЧМ и ХБ (включая препринт). Уменьшение стока по продукту WB Somofilcon A toric 56% 1 Day (30pk) – все позиции заказаны, часть на приемке 
Сфера Бренд. Уменьшение стока по продукту Clariti 1 Day (30pk)_Bespoke – все позиции на приемке или в транзите – большинство позиций категории С и В
Сложные линзы Бренд. Уменьшение стока по продукту Clariti 1 Day multifocal (30pk) – все позиции на приемке – в течение ноября будут на стоке, не проблема.
Сложные линзы Диагностика. Уменьшение стока по продукту Diag Biofinity Toric (1pk) – позиции на приемке
</t>
      </text>
    </comment>
    <comment ref="HO1" authorId="63" shapeId="0" xr:uid="{C731EF39-E4EA-4646-9173-1B9E9AE01A43}">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Сфера Диагностика. Уменьшение стока по продукту Diag MiSight 1 Day (5 pk) – выпала 1 позиция категории А – на приемке, поставила в приоритет
Сложные линзы Диагностика. Уменьшение стока по продукту Diag Biofinity Multifocal (1pk) – позиции на приемке
По сфере всего 101 выпавшая диоптрия (100 Revenue и 1 FOC). 
Из них 41 диоптрия из категории А (40,59%), информация по ним ниже:
</t>
      </text>
    </comment>
    <comment ref="HP1" authorId="64" shapeId="0" xr:uid="{83073FD7-3B42-40CF-B3BA-E5412DE909F0}">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Сфера ЧМ и ХБ (включая препринт) . Уменьшение стока по продукту WB Comfilcon asphere (3pk) – все позиции находятся в приемке из 20 машины – в приоритете.
Сфера Бренд. Уменьшение стока по продукту Biofinity XR (3 pk) – все позиции находятся в приемке из 20 и 21 машин – в приоритете.
Сложные линзы Диагностика. Уменьшение стока по продукту Diag Biofinity Toric (1pk) – позиции на приемке
По сфере всего 97 выпавших диоптрий (97 Revenue и 0 FOC). 
</t>
      </text>
    </comment>
    <comment ref="HR1" authorId="65" shapeId="0" xr:uid="{96D6119C-BCC0-443B-BD40-AAC6D8E8B13C}">
      <text>
        <t>[Threaded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Сфера Диагностика. Уменьшение стока по продукту Biomedics 55 Evolution (6pk) - позиции категории А, на приемке, в приоритете
Сложные линзы Бренд. Уменьшение стока по продукту Biofinity Toric (3 pk) (new) – позиции на приемке</t>
      </text>
    </comment>
    <comment ref="HS1" authorId="66" shapeId="0" xr:uid="{43DF3A5B-8F57-468C-95E0-8FB9D519AD46}">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Сложные линзы ЧМ и ХБ (включая препринт). Уменьшение стока по продукту WB Somofilcon A toric 56% 1 Day (30pk) – позиции на приемке, уменьшение незначительное
Сфера Бренд. Уменьшение стока по продукту MyDay (90pk) – преимущественно позиции категории С, все на приемке
Сложные линзы Бренд. Уменьшение стока по продукту Biofinity multifocal (3 pk) – все позиции категории С – все на приемке
Сфера Диагностика. Уменьшение стока по продукту Diag Proclear 1 day (5pk) – позиции заказаны
Сложные линзы Диагностика. Уменьшение стока по продукту Diag Biofinity Toric (1pk) – позиции на приемке
По сфере всего 82 выпавших диоптрий (79 Revenue и 3 FOC). 
Из них 24 диоптрии из категории А (29,27%), информация по ним ниже:
</t>
      </text>
    </comment>
    <comment ref="HT1" authorId="67" shapeId="0" xr:uid="{7FA5AFA4-5C93-427E-A38E-E88A8C4798C6}">
      <text>
        <t xml:space="preserve">[Threaded comment]
Your version of Excel allows you to read this threaded comment; however, any edits to it will get removed if the file is opened in a newer version of Excel. Learn more: https://go.microsoft.com/fwlink/?linkid=870924
Comment:
    Ухудшение ситуации по продукту:
Сложные линзы ЧМ и ХБ (включая препринт). Уменьшение стока по продукту WB Somofilcon A toric 56% 1 Day (30pk) – позиции на приемке, уменьшение незначительное
Сфера Бренд. Уменьшение стока по продукту MyDay (90pk) – преимущественно позиции категории С, все на приемке
Сложные линзы Бренд. Уменьшение стока по продукту Biofinity multifocal (3 pk) – все позиции категории С – все на приемке
Сфера Диагностика. Уменьшение стока по продукту Diag Proclear 1 day (5pk) – позиции заказаны
Сложные линзы Диагностика. Уменьшение стока по продукту Diag Biofinity Toric (1pk) – позиции на приемке
По сфере всего 82 выпавших диоптрий (79 Revenue и 3 FOC). 
Из них 24 диоптрии из категории А (29,27%), информация по ним ниже:
</t>
      </text>
    </comment>
    <comment ref="HU1" authorId="68" shapeId="0" xr:uid="{8D174BE7-626D-4C41-B7A8-0456B042684A}">
      <text>
        <t xml:space="preserve">[Threaded comment]
Your version of Excel allows you to read this threaded comment; however, any edits to it will get removed if the file is opened in a newer version of Excel. Learn more: https://go.microsoft.com/fwlink/?linkid=870924
Comment:
    Сравнение с предыдущим отчетом
Ухудшение ситуации по продукту:
Сфера ЧМ и ХБ (включая препринт). Уменьшение стока по продукту Biosoft Premium (3pk) – мы специально оттягивали заказы, так как ждали обновление коробки (PCO), позиции едут в машине 2 – в начале февраля будут на стоке
Сфера Бренд. Уменьшение стока по продукту Proclear 1 day (30pk) – пару позиций выпали в БО. Продукт давно лежит на приемке, не принимали, тк не было места, сейчас обращу внимание на позиции к приемке
Сложные линзы ЧМ и ХБ (включая препринт). Уменьшение стока по продукту WB Comfilcon A toric BF (3pk) – все позиции на приемке, ждут своей очереди
Сложные линзы Бренд. Уменьшение стока по продукту Clariti 1 Day multifocal (30pk) – все позиции на приемке, ждут своей очереди. Поставлю в приоритет на приемку какую-нибудь жирную АСН с продуктом для ориентира
Сфера Диагностика. Уменьшение стока по продукту Diag Proclear 1 day (5pk) – позиции в транзите, в феврале будут на стоке
Сложные линзы Диагностика. Уменьшение стока по продукту Diag Biofinity Toric (1pk) – все позиции на приемке, преимущественно категория С
По сфере всего 72 выпавших диоптрий (67 Revenue и 5 FOC). 
Из них 13 диоптрий из категории А (18,1%)
</t>
      </text>
    </comment>
  </commentList>
</comments>
</file>

<file path=xl/sharedStrings.xml><?xml version="1.0" encoding="utf-8"?>
<sst xmlns="http://schemas.openxmlformats.org/spreadsheetml/2006/main" count="294" uniqueCount="174">
  <si>
    <t>Period</t>
  </si>
  <si>
    <t>3PL Pick Pack accuracy</t>
  </si>
  <si>
    <t xml:space="preserve">3PL Outbound Lens Scan </t>
  </si>
  <si>
    <t>Logistics Cost Per Pack</t>
  </si>
  <si>
    <t>KPI / Initiative</t>
  </si>
  <si>
    <t>Nov</t>
  </si>
  <si>
    <t>Dec</t>
  </si>
  <si>
    <t>Jan</t>
  </si>
  <si>
    <t>Feb</t>
  </si>
  <si>
    <t>Mar</t>
  </si>
  <si>
    <t>Apr</t>
  </si>
  <si>
    <t>May</t>
  </si>
  <si>
    <t>Oct</t>
  </si>
  <si>
    <t>Average order value</t>
  </si>
  <si>
    <t>Logistic cost per pack</t>
  </si>
  <si>
    <t>OOS Target</t>
  </si>
  <si>
    <t>3PL Outbound Lens Scan</t>
  </si>
  <si>
    <t>3PL Outbound Lens Scan Target</t>
  </si>
  <si>
    <t>Overall State</t>
  </si>
  <si>
    <t>Supply Chain Russia health report</t>
  </si>
  <si>
    <t>KPIs</t>
  </si>
  <si>
    <t>Total Average Order Value</t>
  </si>
  <si>
    <t>Total Orders Shipped</t>
  </si>
  <si>
    <t>Pick &amp; Pack accuracy</t>
  </si>
  <si>
    <t>Pick &amp; Pack accuracy Target</t>
  </si>
  <si>
    <t>Distribution Forecast Accuracy</t>
  </si>
  <si>
    <t>Projects \ Activities</t>
  </si>
  <si>
    <t>Sales Units Forecast Accuracy</t>
  </si>
  <si>
    <t>Distribution % in Revenue</t>
  </si>
  <si>
    <t>Backorders in Sales</t>
  </si>
  <si>
    <t>Backorders in Sales Target</t>
  </si>
  <si>
    <t>Delivery on Time Target</t>
  </si>
  <si>
    <t>Freight Cost</t>
  </si>
  <si>
    <t>Freight Cost Target</t>
  </si>
  <si>
    <t>Challenges \ Opportunities</t>
  </si>
  <si>
    <t>MOH Total</t>
  </si>
  <si>
    <t>Product</t>
  </si>
  <si>
    <t>Sphere PL,HB</t>
  </si>
  <si>
    <t>Torics PL,HB</t>
  </si>
  <si>
    <t>Sphere Brand</t>
  </si>
  <si>
    <t>Torics Brand</t>
  </si>
  <si>
    <t>Rub</t>
  </si>
  <si>
    <t>Price List minus 20%</t>
  </si>
  <si>
    <t>USD rate FY21</t>
  </si>
  <si>
    <t>Month</t>
  </si>
  <si>
    <t>Total Packs</t>
  </si>
  <si>
    <t>Total in USD</t>
  </si>
  <si>
    <t>Rejected Sum USD</t>
  </si>
  <si>
    <t>October</t>
  </si>
  <si>
    <t>November</t>
  </si>
  <si>
    <t>December</t>
  </si>
  <si>
    <t>January</t>
  </si>
  <si>
    <t>March</t>
  </si>
  <si>
    <t>April</t>
  </si>
  <si>
    <t>Grand Total</t>
  </si>
  <si>
    <t>3PL Goods receipt schedule</t>
  </si>
  <si>
    <t>3PL Goods receipt packs Target</t>
  </si>
  <si>
    <t>3PL Goods delivered (outbound)</t>
  </si>
  <si>
    <t>3PL Goods receipt actual packs (inbound)</t>
  </si>
  <si>
    <t>June</t>
  </si>
  <si>
    <t>3PL Outbound Picking line Target</t>
  </si>
  <si>
    <t>Rejected Packs</t>
  </si>
  <si>
    <t>July</t>
  </si>
  <si>
    <t>August</t>
  </si>
  <si>
    <t>Distr % in Rev Target</t>
  </si>
  <si>
    <t>September</t>
  </si>
  <si>
    <t>3PL Outbound Picking line (Per Day) with Marketing and Labels</t>
  </si>
  <si>
    <t>3PL Outbound Order line (Per Day) with Marketing and Labels</t>
  </si>
  <si>
    <t>3PL Receipt efficiency</t>
  </si>
  <si>
    <t xml:space="preserve">3PL Inbound vs. Outbound volumes </t>
  </si>
  <si>
    <t>Backorder Lenses Volume in USD</t>
  </si>
  <si>
    <t>3PL Outbound Line Per Day</t>
  </si>
  <si>
    <t>Freight % in Revenue (Included in Discribution %)</t>
  </si>
  <si>
    <t>February</t>
  </si>
  <si>
    <t>Backorders Lenses only</t>
  </si>
  <si>
    <t>Save</t>
  </si>
  <si>
    <t>3PL Outbound Picking line (Per Day) with Marketing and Labels_% of Target</t>
  </si>
  <si>
    <t>Sept</t>
  </si>
  <si>
    <r>
      <rPr>
        <sz val="10"/>
        <color theme="5" tint="-0.249977111117893"/>
        <rFont val="Wingdings"/>
        <charset val="2"/>
      </rPr>
      <t>æ</t>
    </r>
    <r>
      <rPr>
        <sz val="10"/>
        <color theme="5" tint="-0.249977111117893"/>
        <rFont val="Calibri"/>
        <family val="2"/>
      </rPr>
      <t xml:space="preserve">   </t>
    </r>
    <r>
      <rPr>
        <sz val="10"/>
        <color theme="5" tint="-0.249977111117893"/>
        <rFont val="Calibri"/>
        <family val="2"/>
        <scheme val="minor"/>
      </rPr>
      <t>bf data error in KPI file</t>
    </r>
  </si>
  <si>
    <t>3PL area only_complaints Target</t>
  </si>
  <si>
    <t>3PL area only</t>
  </si>
  <si>
    <t>This zone goes to charts</t>
  </si>
  <si>
    <t>MOH Target Sphere</t>
  </si>
  <si>
    <t>OOS Total</t>
  </si>
  <si>
    <t>Comm Sphere</t>
  </si>
  <si>
    <t>Comm Torics</t>
  </si>
  <si>
    <t>Comm MF</t>
  </si>
  <si>
    <t>Diag Sphere</t>
  </si>
  <si>
    <t>Diag Torics</t>
  </si>
  <si>
    <t>Diag MF</t>
  </si>
  <si>
    <t>Sphere&amp;MF Target</t>
  </si>
  <si>
    <t>Torics Target</t>
  </si>
  <si>
    <t>Picking vs Order lines</t>
  </si>
  <si>
    <t>Januarry</t>
  </si>
  <si>
    <t>* think of model based on orders and weight parameters calulation and not only Rev % as is now</t>
  </si>
  <si>
    <t xml:space="preserve"> </t>
  </si>
  <si>
    <t>АняБ</t>
  </si>
  <si>
    <t>Света</t>
  </si>
  <si>
    <r>
      <t>3PL Month on Hand without LC</t>
    </r>
    <r>
      <rPr>
        <b/>
        <sz val="11"/>
        <rFont val="Calibri"/>
        <family val="2"/>
        <charset val="204"/>
        <scheme val="minor"/>
      </rPr>
      <t>P</t>
    </r>
    <r>
      <rPr>
        <b/>
        <sz val="11"/>
        <color theme="1" tint="0.499984740745262"/>
        <rFont val="Calibri"/>
        <family val="2"/>
        <charset val="204"/>
        <scheme val="minor"/>
      </rPr>
      <t>_</t>
    </r>
    <r>
      <rPr>
        <b/>
        <sz val="9"/>
        <color theme="1" tint="0.499984740745262"/>
        <rFont val="Calibri"/>
        <family val="2"/>
        <charset val="204"/>
        <scheme val="minor"/>
      </rPr>
      <t>packs based</t>
    </r>
  </si>
  <si>
    <r>
      <t>Availability</t>
    </r>
    <r>
      <rPr>
        <b/>
        <sz val="11"/>
        <color theme="1" tint="0.499984740745262"/>
        <rFont val="Calibri"/>
        <family val="2"/>
        <scheme val="minor"/>
      </rPr>
      <t>_</t>
    </r>
    <r>
      <rPr>
        <b/>
        <sz val="9"/>
        <color theme="1" tint="0.499984740745262"/>
        <rFont val="Calibri"/>
        <family val="2"/>
        <scheme val="minor"/>
      </rPr>
      <t>sku based</t>
    </r>
  </si>
  <si>
    <r>
      <t>Out of Stock Commerce</t>
    </r>
    <r>
      <rPr>
        <b/>
        <sz val="9"/>
        <color theme="1" tint="0.499984740745262"/>
        <rFont val="Calibri"/>
        <family val="2"/>
        <scheme val="minor"/>
      </rPr>
      <t>_sku based</t>
    </r>
  </si>
  <si>
    <r>
      <t>Out of Stock Diagnostics</t>
    </r>
    <r>
      <rPr>
        <b/>
        <sz val="9"/>
        <color theme="1" tint="0.499984740745262"/>
        <rFont val="Calibri"/>
        <family val="2"/>
        <scheme val="minor"/>
      </rPr>
      <t>_sku based</t>
    </r>
  </si>
  <si>
    <t>3PL Goods delivered (outbound) Target</t>
  </si>
  <si>
    <t>3PL Goods delivered (outbound)_Target error</t>
  </si>
  <si>
    <t>n</t>
  </si>
  <si>
    <t>Dispatch + Delivery on Time SLA</t>
  </si>
  <si>
    <t>New! Решила мониторить еще и упаковки план/факт</t>
  </si>
  <si>
    <t>MOH Toric</t>
  </si>
  <si>
    <t>MOH Sphere</t>
  </si>
  <si>
    <t>Orders shipped 3PL_incl optics</t>
  </si>
  <si>
    <t>Orders shipped all DC</t>
  </si>
  <si>
    <t>New WMS OBDAN</t>
  </si>
  <si>
    <t>3PL KPI</t>
  </si>
  <si>
    <t>Backorder Lens Volume in Packs (incl. Dx)</t>
  </si>
  <si>
    <t>January 2024</t>
  </si>
  <si>
    <t xml:space="preserve">курс доллара на FY2025 поменялся с 1 ноября 2024 года.  Цены на продажу поменялись с 20 ноября 2024 года. </t>
  </si>
  <si>
    <t>Total Sum of Q-ty of Packs</t>
  </si>
  <si>
    <t>Total Sum of Value USD</t>
  </si>
  <si>
    <t>D-DOT (Despatch and Delivery on Time)</t>
  </si>
  <si>
    <t>January 2025</t>
  </si>
  <si>
    <t>True Sign project - extra DataMatrix code</t>
  </si>
  <si>
    <t xml:space="preserve">Reporting to Ministry of Health </t>
  </si>
  <si>
    <t xml:space="preserve">Project restarted by RA - need for report data of every inbound and outbound (new request) to ministry of health. </t>
  </si>
  <si>
    <t>RDC area only</t>
  </si>
  <si>
    <t>All complaints</t>
  </si>
  <si>
    <t>Number of Claims_3PL+RDCs</t>
  </si>
  <si>
    <t>House Brands on Regional Warehouses (Research phase)</t>
  </si>
  <si>
    <t>FY26</t>
  </si>
  <si>
    <t>Extra Toric Stock - Availability improvement project</t>
  </si>
  <si>
    <t>Launch MyDay Multifocal</t>
  </si>
  <si>
    <t>Pre-Launch in Nov
Federal Launch in March
Need 1400 diagnostics banks</t>
  </si>
  <si>
    <t>Relocation of Saint Petersburg warehouse</t>
  </si>
  <si>
    <t>Carrier Price increase</t>
  </si>
  <si>
    <t>10% price increase of KSE from November - will increase transportation cost on ~3% (KSE share is 20%)</t>
  </si>
  <si>
    <t>E2E OTIF Russia (order)</t>
  </si>
  <si>
    <t>WH OTIF Global (order)</t>
  </si>
  <si>
    <t>E2E OTIF Russia (lines)</t>
  </si>
  <si>
    <t>WH OTIF Global (lines)</t>
  </si>
  <si>
    <t>Relocation of Saint-Petersburg warehouse</t>
  </si>
  <si>
    <t>Inbound Queue</t>
  </si>
  <si>
    <t>Torics Availability - BSP</t>
  </si>
  <si>
    <t>IHCO contract updates in FY26</t>
  </si>
  <si>
    <t>Transfer prices from 1.02.2026
Overall contract from 1.11.2026
Challenging with shipments from Hungary</t>
  </si>
  <si>
    <t>WMS project challenges</t>
  </si>
  <si>
    <t xml:space="preserve">WIP </t>
  </si>
  <si>
    <t>FY26 Q2</t>
  </si>
  <si>
    <t>Delayed</t>
  </si>
  <si>
    <t>Project initiation
Resource constraints</t>
  </si>
  <si>
    <t>Massive increase of sales plans for FY26</t>
  </si>
  <si>
    <t>Update in Hyperion needed
Pressure on Q4</t>
  </si>
  <si>
    <t>uGTIN</t>
  </si>
  <si>
    <t>Scope and timing is not clear</t>
  </si>
  <si>
    <t>TOP 5 _ BO products</t>
  </si>
  <si>
    <t>Working days</t>
  </si>
  <si>
    <t>Shipped PACKS  (Revenue - Trials) (without Marketing)</t>
  </si>
  <si>
    <t>vs last Jan</t>
  </si>
  <si>
    <t>Shipped packs  per day</t>
  </si>
  <si>
    <t>Shipped orders per day</t>
  </si>
  <si>
    <t>Rejected, USD</t>
  </si>
  <si>
    <t>Rejected, Packs</t>
  </si>
  <si>
    <t xml:space="preserve">February </t>
  </si>
  <si>
    <t xml:space="preserve">	· 100% of order is manufactured or in the process of manufacturing
	· 100% of order is in Russia, wait for acceptance at 3PL,
	· 82% is accepted
	· Most of the order will be accepted at 3PL in February-March, and then distributed across Russia in 2-3 months
63% already distributed to Regional Warehouses</t>
  </si>
  <si>
    <t>Challenges with resources.
New Warehouseman found and will restart process after adaptation</t>
  </si>
  <si>
    <t>RA Expect it in 27-28 and this will be a big issue - need to extra barcode all products. 
Currently discussing it with Consultants and Lawers.
Some signals in news that increase probability.</t>
  </si>
  <si>
    <t xml:space="preserve">New legal requirement for e-transportation order </t>
  </si>
  <si>
    <t>formal date is 1st of September
working on automation
will be an impact on all markets</t>
  </si>
  <si>
    <t>Go-Live 6th of May</t>
  </si>
  <si>
    <t>Development of QMS</t>
  </si>
  <si>
    <t>8 trucks in queue, where:	
	0,5	MD MF Launch
	2,5	standard replenishment of Torics
	2	standard replenishment of Multifocal
	3	standard replenishment of Sphere
Expect to fix queue in Q3</t>
  </si>
  <si>
    <t>June 2026</t>
  </si>
  <si>
    <t>Recover 3PL service level</t>
  </si>
  <si>
    <t>E-TDN project in progress</t>
  </si>
  <si>
    <t>Relocation of St.Petersburg, Samara, Perm, Kazan</t>
  </si>
  <si>
    <t>Private Label project for Novosibirsk, Rostov, Volgograd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</si>
</sst>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_-* #,##0_-;\-* #,##0_-;_-* &quot;-&quot;??_-;_-@_-"/>
    <numFmt numFmtId="167" formatCode="_-* #,##0_-;[Red]* \(#,##0\)_-;_-* &quot;-&quot;_-;_-@_-"/>
  </numFmts>
  <fonts count="49">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sz val="11"/>
      <name val="Calibri"/>
      <family val="2"/>
      <scheme val="minor"/>
    </font>
    <font>
      <b/>
      <sz val="12"/>
      <color theme="0"/>
      <name val="Calibri"/>
      <family val="2"/>
      <scheme val="minor"/>
    </font>
    <font>
      <sz val="11"/>
      <color rgb="FF000000"/>
      <name val="Calibri"/>
      <family val="2"/>
      <scheme val="minor"/>
    </font>
    <font>
      <sz val="11"/>
      <color theme="1"/>
      <name val="Calibri"/>
      <family val="2"/>
      <scheme val="minor"/>
    </font>
    <font>
      <b/>
      <sz val="20"/>
      <color theme="1"/>
      <name val="Calibri"/>
      <family val="2"/>
      <charset val="204"/>
      <scheme val="minor"/>
    </font>
    <font>
      <sz val="14"/>
      <color theme="1"/>
      <name val="Calibri"/>
      <family val="2"/>
      <charset val="204"/>
      <scheme val="minor"/>
    </font>
    <font>
      <sz val="11"/>
      <name val="Calibri"/>
      <family val="2"/>
      <charset val="204"/>
      <scheme val="minor"/>
    </font>
    <font>
      <b/>
      <sz val="11"/>
      <name val="Calibri"/>
      <family val="2"/>
      <charset val="204"/>
      <scheme val="minor"/>
    </font>
    <font>
      <b/>
      <sz val="8"/>
      <color theme="5" tint="-0.499984740745262"/>
      <name val="Arial"/>
      <family val="2"/>
      <charset val="204"/>
    </font>
    <font>
      <sz val="11"/>
      <color rgb="FF000000"/>
      <name val="Arial"/>
      <family val="2"/>
      <charset val="204"/>
    </font>
    <font>
      <sz val="11"/>
      <name val="Arial"/>
      <family val="2"/>
      <charset val="204"/>
    </font>
    <font>
      <b/>
      <sz val="11"/>
      <color rgb="FF000000"/>
      <name val="Arial"/>
      <family val="2"/>
      <charset val="204"/>
    </font>
    <font>
      <sz val="10"/>
      <color theme="1"/>
      <name val="Calibri"/>
      <family val="2"/>
      <charset val="204"/>
      <scheme val="minor"/>
    </font>
    <font>
      <sz val="10"/>
      <color theme="1" tint="0.499984740745262"/>
      <name val="Calibri"/>
      <family val="2"/>
      <charset val="204"/>
      <scheme val="minor"/>
    </font>
    <font>
      <sz val="10"/>
      <color theme="0"/>
      <name val="Calibri"/>
      <family val="2"/>
      <charset val="204"/>
      <scheme val="minor"/>
    </font>
    <font>
      <sz val="8"/>
      <name val="Arial"/>
      <family val="2"/>
    </font>
    <font>
      <sz val="10"/>
      <name val="Calibri"/>
      <family val="2"/>
      <scheme val="minor"/>
    </font>
    <font>
      <sz val="10"/>
      <color theme="5" tint="-0.249977111117893"/>
      <name val="Calibri"/>
      <family val="2"/>
      <scheme val="minor"/>
    </font>
    <font>
      <sz val="10"/>
      <color theme="5" tint="-0.249977111117893"/>
      <name val="Calibri"/>
      <family val="2"/>
    </font>
    <font>
      <sz val="10"/>
      <color theme="5" tint="-0.249977111117893"/>
      <name val="Calibri"/>
      <family val="1"/>
      <charset val="2"/>
      <scheme val="minor"/>
    </font>
    <font>
      <sz val="10"/>
      <color theme="5" tint="-0.249977111117893"/>
      <name val="Wingdings"/>
      <charset val="2"/>
    </font>
    <font>
      <sz val="11"/>
      <color rgb="FFC00000"/>
      <name val="Calibri"/>
      <family val="2"/>
      <charset val="204"/>
      <scheme val="minor"/>
    </font>
    <font>
      <sz val="11"/>
      <color rgb="FFFAB4B4"/>
      <name val="Calibri"/>
      <family val="2"/>
      <charset val="204"/>
      <scheme val="minor"/>
    </font>
    <font>
      <sz val="14"/>
      <name val="Calibri"/>
      <family val="2"/>
      <charset val="204"/>
      <scheme val="minor"/>
    </font>
    <font>
      <b/>
      <sz val="11"/>
      <color theme="1"/>
      <name val="Wingdings 2"/>
      <family val="1"/>
      <charset val="204"/>
    </font>
    <font>
      <b/>
      <sz val="11"/>
      <color theme="1" tint="0.499984740745262"/>
      <name val="Calibri"/>
      <family val="2"/>
      <charset val="204"/>
      <scheme val="minor"/>
    </font>
    <font>
      <b/>
      <sz val="9"/>
      <color theme="1" tint="0.499984740745262"/>
      <name val="Calibri"/>
      <family val="2"/>
      <charset val="204"/>
      <scheme val="minor"/>
    </font>
    <font>
      <b/>
      <sz val="11"/>
      <color theme="1"/>
      <name val="Calibri"/>
      <family val="2"/>
      <scheme val="minor"/>
    </font>
    <font>
      <b/>
      <sz val="11"/>
      <color theme="1" tint="0.499984740745262"/>
      <name val="Calibri"/>
      <family val="2"/>
      <scheme val="minor"/>
    </font>
    <font>
      <b/>
      <sz val="9"/>
      <color theme="1" tint="0.499984740745262"/>
      <name val="Calibri"/>
      <family val="2"/>
      <scheme val="minor"/>
    </font>
    <font>
      <b/>
      <sz val="11"/>
      <color rgb="FF00B050"/>
      <name val="Calibri"/>
      <family val="2"/>
      <scheme val="minor"/>
    </font>
    <font>
      <b/>
      <sz val="11"/>
      <color rgb="FF000000"/>
      <name val="Calibri"/>
      <family val="2"/>
      <scheme val="minor"/>
    </font>
    <font>
      <b/>
      <sz val="11"/>
      <name val="Calibri"/>
      <family val="2"/>
      <scheme val="minor"/>
    </font>
    <font>
      <u/>
      <sz val="11"/>
      <color theme="10"/>
      <name val="Calibri"/>
      <family val="2"/>
      <charset val="204"/>
      <scheme val="minor"/>
    </font>
    <font>
      <sz val="11"/>
      <color rgb="FFFF0000"/>
      <name val="Calibri"/>
      <family val="2"/>
      <scheme val="minor"/>
    </font>
    <font>
      <b/>
      <sz val="6"/>
      <color theme="7" tint="-0.249977111117893"/>
      <name val="Webdings"/>
      <family val="1"/>
      <charset val="2"/>
    </font>
    <font>
      <sz val="11"/>
      <color theme="1"/>
      <name val="Calibri"/>
      <family val="2"/>
      <charset val="162"/>
      <scheme val="minor"/>
    </font>
    <font>
      <sz val="8"/>
      <name val="Arial"/>
      <family val="2"/>
      <charset val="204"/>
    </font>
    <font>
      <sz val="8"/>
      <name val="Arial"/>
      <family val="2"/>
      <charset val="204"/>
    </font>
    <font>
      <sz val="8"/>
      <name val="Arial"/>
      <family val="2"/>
    </font>
    <font>
      <b/>
      <sz val="11"/>
      <color rgb="FFC00000"/>
      <name val="Calibri"/>
      <family val="2"/>
      <scheme val="minor"/>
    </font>
    <font>
      <sz val="11"/>
      <color rgb="FF9C0006"/>
      <name val="Calibri"/>
      <family val="2"/>
      <charset val="204"/>
      <scheme val="minor"/>
    </font>
    <font>
      <b/>
      <sz val="10"/>
      <color rgb="FFC00000"/>
      <name val="Calibri"/>
      <family val="2"/>
      <scheme val="minor"/>
    </font>
    <font>
      <sz val="11"/>
      <color rgb="FFC00000"/>
      <name val="Calibri"/>
      <family val="2"/>
      <scheme val="minor"/>
    </font>
    <font>
      <sz val="9"/>
      <name val="Calibri"/>
      <family val="2"/>
      <scheme val="minor"/>
    </font>
    <font>
      <sz val="9"/>
      <color theme="1"/>
      <name val="Calibri"/>
      <family val="2"/>
      <scheme val="minor"/>
    </font>
  </fonts>
  <fills count="22">
    <fill>
      <patternFill patternType="none"/>
    </fill>
    <fill>
      <patternFill patternType="gray125"/>
    </fill>
    <fill>
      <patternFill patternType="solid">
        <fgColor theme="4" tint="-0.249977111117893"/>
        <bgColor indexed="64"/>
      </patternFill>
    </fill>
    <fill>
      <patternFill patternType="solid">
        <fgColor rgb="FFFFC00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A1FD97"/>
        <bgColor indexed="64"/>
      </patternFill>
    </fill>
    <fill>
      <patternFill patternType="solid">
        <fgColor theme="7"/>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rgb="FFD9E1F2"/>
        <bgColor indexed="64"/>
      </patternFill>
    </fill>
    <fill>
      <patternFill patternType="solid">
        <fgColor rgb="FFF8CBAD"/>
        <bgColor indexed="64"/>
      </patternFill>
    </fill>
    <fill>
      <patternFill patternType="solid">
        <fgColor theme="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FFC7CE"/>
      </patternFill>
    </fill>
    <fill>
      <patternFill patternType="solid">
        <fgColor theme="5" tint="0.59999389629810485"/>
        <bgColor indexed="64"/>
      </patternFill>
    </fill>
    <fill>
      <patternFill patternType="solid">
        <fgColor theme="6" tint="0.79998168889431442"/>
        <bgColor indexed="64"/>
      </patternFill>
    </fill>
    <fill>
      <patternFill patternType="solid">
        <fgColor theme="2" tint="-9.9978637043366805E-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indexed="64"/>
      </left>
      <right style="medium">
        <color indexed="64"/>
      </right>
      <top style="medium">
        <color indexed="64"/>
      </top>
      <bottom/>
      <diagonal/>
    </border>
    <border>
      <left style="hair">
        <color indexed="64"/>
      </left>
      <right/>
      <top style="medium">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20">
    <xf numFmtId="0" fontId="0" fillId="0" borderId="0"/>
    <xf numFmtId="9" fontId="1" fillId="0" borderId="0" applyFont="0" applyFill="0" applyBorder="0" applyAlignment="0" applyProtection="0"/>
    <xf numFmtId="0" fontId="6" fillId="0" borderId="0"/>
    <xf numFmtId="9" fontId="6" fillId="0" borderId="0" applyFont="0" applyFill="0" applyBorder="0" applyAlignment="0" applyProtection="0">
      <alignment vertical="center"/>
    </xf>
    <xf numFmtId="9" fontId="6" fillId="0" borderId="0" applyFont="0" applyFill="0" applyBorder="0" applyAlignment="0" applyProtection="0"/>
    <xf numFmtId="43" fontId="6" fillId="0" borderId="0" applyFont="0" applyFill="0" applyBorder="0" applyAlignment="0" applyProtection="0"/>
    <xf numFmtId="0" fontId="18" fillId="0" borderId="0"/>
    <xf numFmtId="0" fontId="1" fillId="0" borderId="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18" fillId="0" borderId="0" applyFont="0" applyFill="0" applyBorder="0" applyAlignment="0" applyProtection="0"/>
    <xf numFmtId="0" fontId="36" fillId="0" borderId="0" applyNumberFormat="0" applyFill="0" applyBorder="0" applyAlignment="0" applyProtection="0"/>
    <xf numFmtId="0" fontId="39" fillId="0" borderId="0"/>
    <xf numFmtId="0" fontId="40" fillId="0" borderId="0"/>
    <xf numFmtId="0" fontId="41" fillId="0" borderId="0"/>
    <xf numFmtId="43" fontId="1" fillId="0" borderId="0" applyFont="0" applyFill="0" applyBorder="0" applyAlignment="0" applyProtection="0"/>
    <xf numFmtId="0" fontId="42" fillId="0" borderId="0"/>
    <xf numFmtId="0" fontId="44" fillId="18" borderId="0" applyNumberFormat="0" applyBorder="0" applyAlignment="0" applyProtection="0"/>
    <xf numFmtId="0" fontId="6" fillId="0" borderId="0"/>
  </cellStyleXfs>
  <cellXfs count="134">
    <xf numFmtId="0" fontId="0" fillId="0" borderId="0" xfId="0"/>
    <xf numFmtId="0" fontId="4" fillId="2" borderId="3" xfId="0" applyFont="1" applyFill="1" applyBorder="1" applyAlignment="1" applyProtection="1">
      <alignment vertical="center"/>
      <protection locked="0"/>
    </xf>
    <xf numFmtId="0" fontId="0" fillId="3" borderId="0" xfId="0" applyFill="1"/>
    <xf numFmtId="0" fontId="2" fillId="3" borderId="0" xfId="0" applyFont="1" applyFill="1"/>
    <xf numFmtId="0" fontId="4" fillId="2" borderId="4" xfId="0" applyFont="1" applyFill="1" applyBorder="1" applyAlignment="1" applyProtection="1">
      <alignment vertical="center"/>
      <protection locked="0"/>
    </xf>
    <xf numFmtId="0" fontId="5" fillId="0" borderId="1" xfId="0" applyFont="1" applyBorder="1" applyAlignment="1" applyProtection="1">
      <alignment vertical="center"/>
      <protection locked="0"/>
    </xf>
    <xf numFmtId="164" fontId="3" fillId="0" borderId="1" xfId="0" applyNumberFormat="1" applyFont="1" applyBorder="1" applyAlignment="1" applyProtection="1">
      <alignment horizontal="right" vertical="center"/>
      <protection locked="0"/>
    </xf>
    <xf numFmtId="165" fontId="3" fillId="0" borderId="1" xfId="0" applyNumberFormat="1" applyFont="1" applyBorder="1" applyAlignment="1" applyProtection="1">
      <alignment horizontal="right" vertical="center"/>
      <protection locked="0"/>
    </xf>
    <xf numFmtId="9" fontId="3" fillId="0" borderId="1" xfId="1" applyFont="1" applyFill="1" applyBorder="1" applyAlignment="1" applyProtection="1">
      <alignment horizontal="right" vertical="center"/>
      <protection locked="0"/>
    </xf>
    <xf numFmtId="0" fontId="3" fillId="0" borderId="1" xfId="0" applyFont="1" applyBorder="1" applyAlignment="1" applyProtection="1">
      <alignment horizontal="right" vertical="center"/>
      <protection locked="0"/>
    </xf>
    <xf numFmtId="3" fontId="3" fillId="0" borderId="1" xfId="0" applyNumberFormat="1" applyFont="1" applyBorder="1" applyAlignment="1" applyProtection="1">
      <alignment horizontal="right" vertical="center"/>
      <protection locked="0"/>
    </xf>
    <xf numFmtId="9" fontId="3" fillId="0" borderId="1" xfId="0" applyNumberFormat="1" applyFont="1" applyBorder="1" applyAlignment="1" applyProtection="1">
      <alignment horizontal="right" vertical="center"/>
      <protection locked="0"/>
    </xf>
    <xf numFmtId="0" fontId="7" fillId="3" borderId="0" xfId="0" applyFont="1" applyFill="1"/>
    <xf numFmtId="0" fontId="0" fillId="5" borderId="0" xfId="0" applyFill="1"/>
    <xf numFmtId="0" fontId="2" fillId="7" borderId="0" xfId="0" applyFont="1" applyFill="1"/>
    <xf numFmtId="0" fontId="0" fillId="7" borderId="0" xfId="0" applyFill="1"/>
    <xf numFmtId="0" fontId="5" fillId="5" borderId="1" xfId="0" applyFont="1" applyFill="1" applyBorder="1" applyAlignment="1" applyProtection="1">
      <alignment vertical="center"/>
      <protection locked="0"/>
    </xf>
    <xf numFmtId="165" fontId="3" fillId="5" borderId="1" xfId="0" applyNumberFormat="1" applyFont="1" applyFill="1" applyBorder="1" applyAlignment="1" applyProtection="1">
      <alignment horizontal="right" vertical="center"/>
      <protection locked="0"/>
    </xf>
    <xf numFmtId="0" fontId="8" fillId="0" borderId="0" xfId="0" applyFont="1"/>
    <xf numFmtId="0" fontId="9" fillId="0" borderId="0" xfId="0" applyFont="1"/>
    <xf numFmtId="0" fontId="10" fillId="3" borderId="0" xfId="0" applyFont="1" applyFill="1"/>
    <xf numFmtId="0" fontId="9" fillId="3" borderId="0" xfId="0" applyFont="1" applyFill="1"/>
    <xf numFmtId="0" fontId="12" fillId="0" borderId="6" xfId="0" applyFont="1" applyBorder="1" applyAlignment="1">
      <alignment horizontal="left" wrapText="1" readingOrder="1"/>
    </xf>
    <xf numFmtId="0" fontId="13" fillId="0" borderId="6" xfId="0" applyFont="1" applyBorder="1" applyAlignment="1">
      <alignment wrapText="1"/>
    </xf>
    <xf numFmtId="0" fontId="12" fillId="0" borderId="6" xfId="0" applyFont="1" applyBorder="1" applyAlignment="1">
      <alignment horizontal="right" wrapText="1" readingOrder="1"/>
    </xf>
    <xf numFmtId="0" fontId="12" fillId="10" borderId="6" xfId="0" applyFont="1" applyFill="1" applyBorder="1" applyAlignment="1">
      <alignment horizontal="left" wrapText="1" readingOrder="1"/>
    </xf>
    <xf numFmtId="0" fontId="12" fillId="11" borderId="6" xfId="0" applyFont="1" applyFill="1" applyBorder="1" applyAlignment="1">
      <alignment horizontal="left" wrapText="1" readingOrder="1"/>
    </xf>
    <xf numFmtId="0" fontId="14" fillId="10" borderId="6" xfId="0" applyFont="1" applyFill="1" applyBorder="1" applyAlignment="1">
      <alignment horizontal="left" wrapText="1" readingOrder="1"/>
    </xf>
    <xf numFmtId="0" fontId="14" fillId="11" borderId="6" xfId="0" applyFont="1" applyFill="1" applyBorder="1" applyAlignment="1">
      <alignment horizontal="left" wrapText="1" readingOrder="1"/>
    </xf>
    <xf numFmtId="3" fontId="12" fillId="10" borderId="6" xfId="0" applyNumberFormat="1" applyFont="1" applyFill="1" applyBorder="1" applyAlignment="1">
      <alignment horizontal="right" wrapText="1" readingOrder="1"/>
    </xf>
    <xf numFmtId="3" fontId="12" fillId="11" borderId="6" xfId="0" applyNumberFormat="1" applyFont="1" applyFill="1" applyBorder="1" applyAlignment="1">
      <alignment horizontal="right" wrapText="1" readingOrder="1"/>
    </xf>
    <xf numFmtId="3" fontId="14" fillId="10" borderId="6" xfId="0" applyNumberFormat="1" applyFont="1" applyFill="1" applyBorder="1" applyAlignment="1">
      <alignment horizontal="right" wrapText="1" readingOrder="1"/>
    </xf>
    <xf numFmtId="3" fontId="14" fillId="11" borderId="6" xfId="0" applyNumberFormat="1" applyFont="1" applyFill="1" applyBorder="1" applyAlignment="1">
      <alignment horizontal="right" wrapText="1" readingOrder="1"/>
    </xf>
    <xf numFmtId="164" fontId="3" fillId="5" borderId="1" xfId="0" applyNumberFormat="1" applyFont="1" applyFill="1" applyBorder="1" applyAlignment="1" applyProtection="1">
      <alignment horizontal="right" vertical="center"/>
      <protection locked="0"/>
    </xf>
    <xf numFmtId="9" fontId="3" fillId="5" borderId="1" xfId="1" applyFont="1" applyFill="1" applyBorder="1" applyAlignment="1" applyProtection="1">
      <alignment horizontal="right" vertical="center"/>
      <protection locked="0"/>
    </xf>
    <xf numFmtId="0" fontId="3" fillId="5" borderId="1" xfId="0" applyFont="1" applyFill="1" applyBorder="1" applyAlignment="1" applyProtection="1">
      <alignment horizontal="right" vertical="center"/>
      <protection locked="0"/>
    </xf>
    <xf numFmtId="165" fontId="0" fillId="0" borderId="0" xfId="1" applyNumberFormat="1" applyFont="1"/>
    <xf numFmtId="10" fontId="0" fillId="0" borderId="0" xfId="0" applyNumberFormat="1"/>
    <xf numFmtId="0" fontId="15" fillId="0" borderId="0" xfId="0" applyFont="1"/>
    <xf numFmtId="0" fontId="16" fillId="12" borderId="0" xfId="0" applyFont="1" applyFill="1"/>
    <xf numFmtId="0" fontId="17" fillId="13" borderId="0" xfId="0" applyFont="1" applyFill="1"/>
    <xf numFmtId="0" fontId="16" fillId="14" borderId="0" xfId="0" applyFont="1" applyFill="1"/>
    <xf numFmtId="0" fontId="17" fillId="15" borderId="0" xfId="0" applyFont="1" applyFill="1"/>
    <xf numFmtId="0" fontId="3" fillId="0" borderId="0" xfId="0" applyFont="1"/>
    <xf numFmtId="165" fontId="3" fillId="5" borderId="1" xfId="1" applyNumberFormat="1" applyFont="1" applyFill="1" applyBorder="1" applyAlignment="1" applyProtection="1">
      <alignment horizontal="right" vertical="center"/>
      <protection locked="0"/>
    </xf>
    <xf numFmtId="0" fontId="17" fillId="0" borderId="0" xfId="0" applyFont="1"/>
    <xf numFmtId="165" fontId="3" fillId="0" borderId="1" xfId="1" applyNumberFormat="1" applyFont="1" applyBorder="1" applyAlignment="1" applyProtection="1">
      <alignment horizontal="right" vertical="center"/>
      <protection locked="0"/>
    </xf>
    <xf numFmtId="9" fontId="19" fillId="5" borderId="7" xfId="1" applyFont="1" applyFill="1" applyBorder="1" applyAlignment="1" applyProtection="1">
      <alignment horizontal="right" vertical="center"/>
      <protection locked="0"/>
    </xf>
    <xf numFmtId="3" fontId="19" fillId="5" borderId="7" xfId="0" applyNumberFormat="1" applyFont="1" applyFill="1" applyBorder="1" applyAlignment="1" applyProtection="1">
      <alignment horizontal="right" vertical="center"/>
      <protection locked="0"/>
    </xf>
    <xf numFmtId="0" fontId="22" fillId="16" borderId="5" xfId="0" applyFont="1" applyFill="1" applyBorder="1" applyAlignment="1" applyProtection="1">
      <alignment horizontal="right" vertical="center"/>
      <protection locked="0"/>
    </xf>
    <xf numFmtId="165" fontId="3" fillId="16" borderId="1" xfId="0" applyNumberFormat="1" applyFont="1" applyFill="1" applyBorder="1" applyAlignment="1" applyProtection="1">
      <alignment horizontal="right" vertical="center"/>
      <protection locked="0"/>
    </xf>
    <xf numFmtId="0" fontId="22" fillId="16" borderId="8" xfId="0" applyFont="1" applyFill="1" applyBorder="1" applyAlignment="1" applyProtection="1">
      <alignment horizontal="right" vertical="center"/>
      <protection locked="0"/>
    </xf>
    <xf numFmtId="9" fontId="3" fillId="0" borderId="0" xfId="1" applyFont="1"/>
    <xf numFmtId="0" fontId="0" fillId="14" borderId="0" xfId="0" applyFill="1"/>
    <xf numFmtId="0" fontId="3" fillId="14" borderId="0" xfId="0" applyFont="1" applyFill="1"/>
    <xf numFmtId="9" fontId="3" fillId="0" borderId="1" xfId="1" applyFont="1" applyBorder="1" applyAlignment="1" applyProtection="1">
      <alignment horizontal="right" vertical="center"/>
      <protection locked="0"/>
    </xf>
    <xf numFmtId="9" fontId="0" fillId="0" borderId="0" xfId="1" applyFont="1"/>
    <xf numFmtId="0" fontId="24" fillId="0" borderId="0" xfId="0" applyFont="1"/>
    <xf numFmtId="0" fontId="25" fillId="0" borderId="0" xfId="0" applyFont="1"/>
    <xf numFmtId="0" fontId="26" fillId="0" borderId="0" xfId="0" applyFont="1"/>
    <xf numFmtId="0" fontId="2" fillId="4" borderId="0" xfId="0" applyFont="1" applyFill="1"/>
    <xf numFmtId="9" fontId="27" fillId="4" borderId="0" xfId="0" applyNumberFormat="1" applyFont="1" applyFill="1"/>
    <xf numFmtId="0" fontId="2" fillId="0" borderId="0" xfId="0" applyFont="1"/>
    <xf numFmtId="0" fontId="30" fillId="4" borderId="0" xfId="0" applyFont="1" applyFill="1"/>
    <xf numFmtId="0" fontId="30" fillId="0" borderId="0" xfId="0" applyFont="1"/>
    <xf numFmtId="0" fontId="5" fillId="5" borderId="9" xfId="0" applyFont="1" applyFill="1" applyBorder="1" applyAlignment="1" applyProtection="1">
      <alignment vertical="center"/>
      <protection locked="0"/>
    </xf>
    <xf numFmtId="3" fontId="3" fillId="5" borderId="9" xfId="0" applyNumberFormat="1" applyFont="1" applyFill="1" applyBorder="1" applyAlignment="1" applyProtection="1">
      <alignment horizontal="right" vertical="center"/>
      <protection locked="0"/>
    </xf>
    <xf numFmtId="0" fontId="5" fillId="5" borderId="10" xfId="0" applyFont="1" applyFill="1" applyBorder="1" applyAlignment="1" applyProtection="1">
      <alignment vertical="center"/>
      <protection locked="0"/>
    </xf>
    <xf numFmtId="9" fontId="19" fillId="5" borderId="10" xfId="1" applyFont="1" applyFill="1" applyBorder="1" applyAlignment="1" applyProtection="1">
      <alignment horizontal="right" vertical="center"/>
      <protection locked="0"/>
    </xf>
    <xf numFmtId="0" fontId="33" fillId="0" borderId="0" xfId="0" applyFont="1" applyAlignment="1">
      <alignment horizontal="left" indent="1"/>
    </xf>
    <xf numFmtId="0" fontId="34" fillId="0" borderId="1" xfId="0" applyFont="1" applyBorder="1" applyAlignment="1" applyProtection="1">
      <alignment vertical="center"/>
      <protection locked="0"/>
    </xf>
    <xf numFmtId="165" fontId="35" fillId="0" borderId="1" xfId="0" applyNumberFormat="1" applyFont="1" applyBorder="1" applyAlignment="1" applyProtection="1">
      <alignment horizontal="right" vertical="center"/>
      <protection locked="0"/>
    </xf>
    <xf numFmtId="0" fontId="38" fillId="0" borderId="0" xfId="0" applyFont="1" applyAlignment="1">
      <alignment horizontal="right"/>
    </xf>
    <xf numFmtId="0" fontId="38" fillId="0" borderId="0" xfId="0" applyFont="1" applyAlignment="1">
      <alignment horizontal="right" vertical="center"/>
    </xf>
    <xf numFmtId="0" fontId="30" fillId="4" borderId="0" xfId="0" applyFont="1" applyFill="1" applyAlignment="1">
      <alignment vertical="center"/>
    </xf>
    <xf numFmtId="0" fontId="30" fillId="0" borderId="0" xfId="0" applyFont="1" applyAlignment="1">
      <alignment vertical="center"/>
    </xf>
    <xf numFmtId="0" fontId="0" fillId="8" borderId="1" xfId="0" applyFill="1" applyBorder="1" applyAlignment="1">
      <alignment horizontal="center" vertical="center" wrapText="1"/>
    </xf>
    <xf numFmtId="14" fontId="0" fillId="8" borderId="1" xfId="0" applyNumberFormat="1" applyFill="1" applyBorder="1" applyAlignment="1">
      <alignment horizontal="center" vertical="center" wrapText="1"/>
    </xf>
    <xf numFmtId="0" fontId="11" fillId="9" borderId="1" xfId="0" applyFont="1" applyFill="1" applyBorder="1" applyAlignment="1">
      <alignment vertical="center" wrapText="1"/>
    </xf>
    <xf numFmtId="9" fontId="11" fillId="9" borderId="1" xfId="0" applyNumberFormat="1" applyFont="1" applyFill="1" applyBorder="1" applyAlignment="1">
      <alignment vertical="center" wrapText="1"/>
    </xf>
    <xf numFmtId="9" fontId="11" fillId="9" borderId="1" xfId="0" applyNumberFormat="1" applyFont="1" applyFill="1" applyBorder="1" applyAlignment="1">
      <alignment horizontal="center" vertical="center" wrapText="1"/>
    </xf>
    <xf numFmtId="9" fontId="11" fillId="9" borderId="1" xfId="0" applyNumberFormat="1" applyFont="1" applyFill="1" applyBorder="1" applyAlignment="1">
      <alignment horizontal="center" vertical="center"/>
    </xf>
    <xf numFmtId="165" fontId="11" fillId="9" borderId="1" xfId="0" applyNumberFormat="1" applyFont="1" applyFill="1" applyBorder="1" applyAlignment="1">
      <alignment horizontal="center" vertical="center"/>
    </xf>
    <xf numFmtId="3" fontId="0" fillId="0" borderId="0" xfId="0" applyNumberFormat="1"/>
    <xf numFmtId="0" fontId="3" fillId="0" borderId="0" xfId="0" applyFont="1" applyAlignment="1">
      <alignment vertical="top"/>
    </xf>
    <xf numFmtId="0" fontId="35" fillId="3" borderId="0" xfId="0" applyFont="1" applyFill="1"/>
    <xf numFmtId="0" fontId="3" fillId="3" borderId="0" xfId="0" applyFont="1" applyFill="1"/>
    <xf numFmtId="0" fontId="3" fillId="6" borderId="0" xfId="0" applyFont="1" applyFill="1"/>
    <xf numFmtId="0" fontId="3" fillId="17" borderId="0" xfId="0" applyFont="1" applyFill="1"/>
    <xf numFmtId="166" fontId="3" fillId="0" borderId="1" xfId="16" applyNumberFormat="1" applyFont="1" applyBorder="1" applyAlignment="1">
      <alignment horizontal="center"/>
    </xf>
    <xf numFmtId="0" fontId="37" fillId="17" borderId="0" xfId="0" applyFont="1" applyFill="1"/>
    <xf numFmtId="9" fontId="43" fillId="0" borderId="1" xfId="1" applyFont="1" applyFill="1" applyBorder="1" applyAlignment="1" applyProtection="1">
      <alignment horizontal="right" vertical="center"/>
      <protection locked="0"/>
    </xf>
    <xf numFmtId="9" fontId="44" fillId="18" borderId="1" xfId="18" applyNumberFormat="1" applyBorder="1" applyAlignment="1" applyProtection="1">
      <alignment horizontal="right" vertical="center"/>
      <protection locked="0"/>
    </xf>
    <xf numFmtId="9" fontId="35" fillId="0" borderId="1" xfId="1" applyFont="1" applyBorder="1" applyAlignment="1" applyProtection="1">
      <alignment horizontal="right" vertical="center"/>
      <protection locked="0"/>
    </xf>
    <xf numFmtId="0" fontId="37" fillId="0" borderId="0" xfId="0" applyFont="1"/>
    <xf numFmtId="9" fontId="3" fillId="19" borderId="1" xfId="1" applyFont="1" applyFill="1" applyBorder="1" applyAlignment="1" applyProtection="1">
      <alignment horizontal="right" vertical="center"/>
      <protection locked="0"/>
    </xf>
    <xf numFmtId="0" fontId="30" fillId="20" borderId="0" xfId="0" applyFont="1" applyFill="1" applyAlignment="1">
      <alignment vertical="center"/>
    </xf>
    <xf numFmtId="9" fontId="43" fillId="0" borderId="1" xfId="0" applyNumberFormat="1" applyFont="1" applyBorder="1" applyAlignment="1" applyProtection="1">
      <alignment horizontal="right" vertical="center"/>
      <protection locked="0"/>
    </xf>
    <xf numFmtId="9" fontId="45" fillId="5" borderId="10" xfId="1" applyFont="1" applyFill="1" applyBorder="1" applyAlignment="1" applyProtection="1">
      <alignment horizontal="right" vertical="center"/>
      <protection locked="0"/>
    </xf>
    <xf numFmtId="3" fontId="46" fillId="5" borderId="9" xfId="0" applyNumberFormat="1" applyFont="1" applyFill="1" applyBorder="1" applyAlignment="1" applyProtection="1">
      <alignment horizontal="right" vertical="center"/>
      <protection locked="0"/>
    </xf>
    <xf numFmtId="10" fontId="3" fillId="0" borderId="1" xfId="0" applyNumberFormat="1" applyFont="1" applyBorder="1" applyAlignment="1" applyProtection="1">
      <alignment horizontal="right" vertical="center"/>
      <protection locked="0"/>
    </xf>
    <xf numFmtId="3" fontId="3" fillId="0" borderId="9" xfId="0" applyNumberFormat="1" applyFont="1" applyBorder="1" applyAlignment="1" applyProtection="1">
      <alignment horizontal="right" vertical="center"/>
      <protection locked="0"/>
    </xf>
    <xf numFmtId="0" fontId="5" fillId="21" borderId="1" xfId="0" applyFont="1" applyFill="1" applyBorder="1" applyAlignment="1" applyProtection="1">
      <alignment vertical="center"/>
      <protection locked="0"/>
    </xf>
    <xf numFmtId="165" fontId="3" fillId="21" borderId="1" xfId="0" applyNumberFormat="1" applyFont="1" applyFill="1" applyBorder="1" applyAlignment="1" applyProtection="1">
      <alignment horizontal="right" vertical="center"/>
      <protection locked="0"/>
    </xf>
    <xf numFmtId="3" fontId="3" fillId="19" borderId="1" xfId="0" applyNumberFormat="1" applyFont="1" applyFill="1" applyBorder="1" applyAlignment="1" applyProtection="1">
      <alignment horizontal="right" vertical="center"/>
      <protection locked="0"/>
    </xf>
    <xf numFmtId="165" fontId="3" fillId="19" borderId="1" xfId="0" applyNumberFormat="1" applyFont="1" applyFill="1" applyBorder="1" applyAlignment="1" applyProtection="1">
      <alignment horizontal="right" vertical="center"/>
      <protection locked="0"/>
    </xf>
    <xf numFmtId="167" fontId="47" fillId="0" borderId="1" xfId="19" applyNumberFormat="1" applyFont="1" applyBorder="1" applyAlignment="1">
      <alignment vertical="center"/>
    </xf>
    <xf numFmtId="0" fontId="0" fillId="0" borderId="1" xfId="0" applyBorder="1"/>
    <xf numFmtId="0" fontId="30" fillId="0" borderId="1" xfId="0" applyFont="1" applyBorder="1"/>
    <xf numFmtId="9" fontId="3" fillId="0" borderId="1" xfId="1" applyFont="1" applyBorder="1"/>
    <xf numFmtId="0" fontId="48" fillId="0" borderId="0" xfId="0" applyFont="1"/>
    <xf numFmtId="0" fontId="48" fillId="0" borderId="1" xfId="0" applyFont="1" applyBorder="1" applyAlignment="1">
      <alignment horizontal="right"/>
    </xf>
    <xf numFmtId="167" fontId="45" fillId="0" borderId="5" xfId="19" applyNumberFormat="1" applyFont="1" applyBorder="1" applyAlignment="1">
      <alignment vertical="center"/>
    </xf>
    <xf numFmtId="167" fontId="30" fillId="0" borderId="12" xfId="0" applyNumberFormat="1" applyFont="1" applyBorder="1"/>
    <xf numFmtId="0" fontId="48" fillId="0" borderId="5" xfId="0" applyFont="1" applyBorder="1" applyAlignment="1">
      <alignment horizontal="right"/>
    </xf>
    <xf numFmtId="0" fontId="48" fillId="0" borderId="5" xfId="0" applyFont="1" applyBorder="1"/>
    <xf numFmtId="167" fontId="48" fillId="0" borderId="5" xfId="0" applyNumberFormat="1" applyFont="1" applyBorder="1"/>
    <xf numFmtId="167" fontId="48" fillId="0" borderId="14" xfId="0" applyNumberFormat="1" applyFont="1" applyBorder="1"/>
    <xf numFmtId="167" fontId="15" fillId="0" borderId="1" xfId="0" applyNumberFormat="1" applyFont="1" applyBorder="1"/>
    <xf numFmtId="167" fontId="15" fillId="0" borderId="13" xfId="0" applyNumberFormat="1" applyFont="1" applyBorder="1"/>
    <xf numFmtId="3" fontId="0" fillId="0" borderId="1" xfId="0" applyNumberFormat="1" applyBorder="1" applyAlignment="1">
      <alignment horizontal="center"/>
    </xf>
    <xf numFmtId="3" fontId="30" fillId="0" borderId="1" xfId="0" applyNumberFormat="1" applyFont="1" applyBorder="1" applyAlignment="1">
      <alignment horizontal="center"/>
    </xf>
    <xf numFmtId="3" fontId="3" fillId="16" borderId="1" xfId="0" applyNumberFormat="1" applyFont="1" applyFill="1" applyBorder="1" applyAlignment="1" applyProtection="1">
      <alignment horizontal="right" vertical="center"/>
      <protection locked="0"/>
    </xf>
    <xf numFmtId="0" fontId="37" fillId="0" borderId="0" xfId="0" applyFont="1" applyAlignment="1">
      <alignment horizontal="left" vertical="top" wrapText="1"/>
    </xf>
    <xf numFmtId="0" fontId="3" fillId="0" borderId="0" xfId="0" applyFont="1" applyAlignment="1">
      <alignment horizontal="left" vertical="center" wrapText="1"/>
    </xf>
    <xf numFmtId="0" fontId="37" fillId="0" borderId="0" xfId="12" applyFont="1" applyFill="1" applyBorder="1" applyAlignment="1">
      <alignment vertical="top" wrapText="1"/>
    </xf>
    <xf numFmtId="0" fontId="37" fillId="0" borderId="0" xfId="0" applyFont="1" applyAlignment="1">
      <alignment vertical="top" wrapText="1"/>
    </xf>
    <xf numFmtId="0" fontId="37" fillId="0" borderId="0" xfId="0" applyFont="1" applyAlignment="1">
      <alignment vertical="top"/>
    </xf>
    <xf numFmtId="0" fontId="3" fillId="0" borderId="0" xfId="0" applyFont="1" applyAlignment="1">
      <alignment horizontal="left" vertical="top" wrapText="1"/>
    </xf>
    <xf numFmtId="0" fontId="3" fillId="0" borderId="2" xfId="0" applyFont="1" applyBorder="1" applyAlignment="1">
      <alignment horizontal="left" vertical="center" wrapText="1"/>
    </xf>
    <xf numFmtId="0" fontId="37" fillId="0" borderId="0" xfId="0" applyFont="1" applyAlignment="1">
      <alignment horizontal="left" vertical="center" wrapText="1"/>
    </xf>
    <xf numFmtId="0" fontId="37" fillId="0" borderId="2" xfId="0" applyFont="1" applyBorder="1" applyAlignment="1">
      <alignment horizontal="left" vertical="center" wrapText="1"/>
    </xf>
    <xf numFmtId="0" fontId="19" fillId="0" borderId="0" xfId="0" applyFont="1" applyAlignment="1">
      <alignment horizontal="center" wrapText="1"/>
    </xf>
    <xf numFmtId="0" fontId="3" fillId="0" borderId="11" xfId="0" applyFont="1" applyBorder="1" applyAlignment="1">
      <alignment horizontal="left" vertical="center" wrapText="1"/>
    </xf>
  </cellXfs>
  <cellStyles count="20">
    <cellStyle name="Bad" xfId="18" builtinId="27"/>
    <cellStyle name="Comma" xfId="16" builtinId="3"/>
    <cellStyle name="Comma 2" xfId="5" xr:uid="{49CF1033-34BF-458B-86DE-E439CD8A738C}"/>
    <cellStyle name="Comma 2 2" xfId="10" xr:uid="{AE6853A0-D65B-4F97-A56D-F4265C44BCE5}"/>
    <cellStyle name="Comma 2 3" xfId="9" xr:uid="{B5BC4724-F474-4706-AE74-E1EA9C1B0E5D}"/>
    <cellStyle name="Hyperlink" xfId="12" builtinId="8"/>
    <cellStyle name="Normal" xfId="0" builtinId="0"/>
    <cellStyle name="Normal 2" xfId="2" xr:uid="{FE8E95B6-420E-4AAF-AA73-0F4FC2DFCBDC}"/>
    <cellStyle name="Normal 2 2" xfId="13" xr:uid="{2794DB69-4768-4144-A72D-BFF344810CAF}"/>
    <cellStyle name="Normal 3" xfId="6" xr:uid="{142AE873-CFC4-478A-A39C-943257C6868A}"/>
    <cellStyle name="Normal 3 2" xfId="15" xr:uid="{C059A086-8A38-403E-A229-1C8EB8906CE4}"/>
    <cellStyle name="Normal 3 3" xfId="17" xr:uid="{E13A932A-8C9F-4C4D-96E4-BF94326E13C6}"/>
    <cellStyle name="Normal_WFC" xfId="19" xr:uid="{E9EA6B84-6068-4C82-A574-5C39C1451278}"/>
    <cellStyle name="Percent" xfId="1" builtinId="5"/>
    <cellStyle name="Percent 2" xfId="3" xr:uid="{F6A5FB3A-70AA-42AB-86C6-42615642E35C}"/>
    <cellStyle name="Percent 3" xfId="4" xr:uid="{CD94827F-091B-4ABA-BA04-F3C08021A3FE}"/>
    <cellStyle name="Percent 4" xfId="11" xr:uid="{AF69D835-F891-4285-BF59-8BBBA4A1423F}"/>
    <cellStyle name="Обычный 2" xfId="7" xr:uid="{D4CD8422-C729-402E-892B-382ED8661483}"/>
    <cellStyle name="Обычный 2 2" xfId="14" xr:uid="{356B37C5-2DF0-45F9-8E0D-8E1DCE771118}"/>
    <cellStyle name="Процентный 2" xfId="8" xr:uid="{4BE146BC-DB1F-401D-917B-D7B85021D767}"/>
  </cellStyles>
  <dxfs count="0"/>
  <tableStyles count="0" defaultTableStyle="TableStyleMedium2" defaultPivotStyle="PivotStyleLight16"/>
  <colors>
    <mruColors>
      <color rgb="FFA1FD97"/>
      <color rgb="FFF3F1A3"/>
      <color rgb="FFFAB4B4"/>
      <color rgb="FFBFBFBF"/>
      <color rgb="FFB6C8E8"/>
      <color rgb="FFC2D1EC"/>
      <color rgb="FFC3D1EB"/>
      <color rgb="FFEDA7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Data!$B$27</c:f>
              <c:strCache>
                <c:ptCount val="1"/>
                <c:pt idx="0">
                  <c:v>Orders shipped all DC</c:v>
                </c:pt>
              </c:strCache>
            </c:strRef>
          </c:tx>
          <c:spPr>
            <a:solidFill>
              <a:schemeClr val="accent1"/>
            </a:solidFill>
            <a:ln>
              <a:noFill/>
            </a:ln>
            <a:effectLst/>
          </c:spPr>
          <c:trendline>
            <c:spPr>
              <a:ln w="19050" cap="rnd">
                <a:solidFill>
                  <a:schemeClr val="accent2"/>
                </a:solidFill>
                <a:prstDash val="sysDot"/>
              </a:ln>
              <a:effectLst/>
            </c:spPr>
            <c:trendlineType val="linear"/>
            <c:dispRSqr val="0"/>
            <c:dispEq val="0"/>
          </c:trendline>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Data!$C$27:$Z$27</c:f>
              <c:numCache>
                <c:formatCode>#,##0</c:formatCode>
                <c:ptCount val="24"/>
                <c:pt idx="0">
                  <c:v>18523</c:v>
                </c:pt>
                <c:pt idx="1">
                  <c:v>17712.000000004391</c:v>
                </c:pt>
                <c:pt idx="2">
                  <c:v>16256.00000000673</c:v>
                </c:pt>
                <c:pt idx="3">
                  <c:v>19061</c:v>
                </c:pt>
                <c:pt idx="4">
                  <c:v>16944</c:v>
                </c:pt>
                <c:pt idx="5">
                  <c:v>15446.000000004087</c:v>
                </c:pt>
                <c:pt idx="6">
                  <c:v>15709.000000003398</c:v>
                </c:pt>
                <c:pt idx="7">
                  <c:v>15356.000000003301</c:v>
                </c:pt>
                <c:pt idx="8">
                  <c:v>17570.000000005417</c:v>
                </c:pt>
                <c:pt idx="9">
                  <c:v>18616</c:v>
                </c:pt>
                <c:pt idx="10">
                  <c:v>15171</c:v>
                </c:pt>
                <c:pt idx="11">
                  <c:v>17077.000000004053</c:v>
                </c:pt>
                <c:pt idx="12">
                  <c:v>18400.00000000036</c:v>
                </c:pt>
                <c:pt idx="13">
                  <c:v>17719.0000000041</c:v>
                </c:pt>
                <c:pt idx="14">
                  <c:v>22117</c:v>
                </c:pt>
                <c:pt idx="15">
                  <c:v>21048</c:v>
                </c:pt>
                <c:pt idx="16">
                  <c:v>17711</c:v>
                </c:pt>
                <c:pt idx="17">
                  <c:v>19978</c:v>
                </c:pt>
                <c:pt idx="18">
                  <c:v>16178</c:v>
                </c:pt>
                <c:pt idx="19">
                  <c:v>17113</c:v>
                </c:pt>
                <c:pt idx="20">
                  <c:v>20711</c:v>
                </c:pt>
                <c:pt idx="21">
                  <c:v>21045</c:v>
                </c:pt>
                <c:pt idx="22">
                  <c:v>17475</c:v>
                </c:pt>
                <c:pt idx="23">
                  <c:v>22589</c:v>
                </c:pt>
              </c:numCache>
            </c:numRef>
          </c:val>
          <c:extLst>
            <c:ext xmlns:c16="http://schemas.microsoft.com/office/drawing/2014/chart" uri="{C3380CC4-5D6E-409C-BE32-E72D297353CC}">
              <c16:uniqueId val="{00000000-1FBD-40A9-A940-C8FD4F804942}"/>
            </c:ext>
          </c:extLst>
        </c:ser>
        <c:dLbls>
          <c:showLegendKey val="0"/>
          <c:showVal val="0"/>
          <c:showCatName val="0"/>
          <c:showSerName val="0"/>
          <c:showPercent val="0"/>
          <c:showBubbleSize val="0"/>
        </c:dLbls>
        <c:axId val="405694536"/>
        <c:axId val="405696504"/>
      </c:areaChart>
      <c:lineChart>
        <c:grouping val="standard"/>
        <c:varyColors val="0"/>
        <c:ser>
          <c:idx val="1"/>
          <c:order val="1"/>
          <c:tx>
            <c:strRef>
              <c:f>Data!$B$28</c:f>
              <c:strCache>
                <c:ptCount val="1"/>
                <c:pt idx="0">
                  <c:v>Orders shipped 3PL_incl optics</c:v>
                </c:pt>
              </c:strCache>
            </c:strRef>
          </c:tx>
          <c:spPr>
            <a:ln w="28575" cap="rnd">
              <a:solidFill>
                <a:schemeClr val="accent2"/>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Data!$C$28:$Z$28</c:f>
              <c:numCache>
                <c:formatCode>#,##0</c:formatCode>
                <c:ptCount val="24"/>
                <c:pt idx="0">
                  <c:v>14018</c:v>
                </c:pt>
                <c:pt idx="1">
                  <c:v>10064</c:v>
                </c:pt>
                <c:pt idx="2">
                  <c:v>12441</c:v>
                </c:pt>
                <c:pt idx="3">
                  <c:v>14519</c:v>
                </c:pt>
                <c:pt idx="4">
                  <c:v>12785</c:v>
                </c:pt>
                <c:pt idx="5">
                  <c:v>11507</c:v>
                </c:pt>
                <c:pt idx="6">
                  <c:v>12004</c:v>
                </c:pt>
                <c:pt idx="7">
                  <c:v>11626</c:v>
                </c:pt>
                <c:pt idx="8">
                  <c:v>13911</c:v>
                </c:pt>
                <c:pt idx="9">
                  <c:v>16893</c:v>
                </c:pt>
                <c:pt idx="10">
                  <c:v>11468</c:v>
                </c:pt>
                <c:pt idx="11">
                  <c:v>13955</c:v>
                </c:pt>
                <c:pt idx="12">
                  <c:v>14846</c:v>
                </c:pt>
                <c:pt idx="13">
                  <c:v>13623</c:v>
                </c:pt>
                <c:pt idx="14">
                  <c:v>18006</c:v>
                </c:pt>
                <c:pt idx="15">
                  <c:v>16368</c:v>
                </c:pt>
                <c:pt idx="16">
                  <c:v>13872</c:v>
                </c:pt>
                <c:pt idx="17">
                  <c:v>14626</c:v>
                </c:pt>
                <c:pt idx="18">
                  <c:v>11563</c:v>
                </c:pt>
                <c:pt idx="19">
                  <c:v>13692</c:v>
                </c:pt>
                <c:pt idx="20">
                  <c:v>15251</c:v>
                </c:pt>
                <c:pt idx="21">
                  <c:v>15810</c:v>
                </c:pt>
                <c:pt idx="22">
                  <c:v>11561</c:v>
                </c:pt>
                <c:pt idx="23">
                  <c:v>15553</c:v>
                </c:pt>
              </c:numCache>
            </c:numRef>
          </c:val>
          <c:smooth val="1"/>
          <c:extLst>
            <c:ext xmlns:c16="http://schemas.microsoft.com/office/drawing/2014/chart" uri="{C3380CC4-5D6E-409C-BE32-E72D297353CC}">
              <c16:uniqueId val="{00000000-8591-4744-B8BD-DDFA2E02567C}"/>
            </c:ext>
          </c:extLst>
        </c:ser>
        <c:dLbls>
          <c:showLegendKey val="0"/>
          <c:showVal val="0"/>
          <c:showCatName val="0"/>
          <c:showSerName val="0"/>
          <c:showPercent val="0"/>
          <c:showBubbleSize val="0"/>
        </c:dLbls>
        <c:marker val="1"/>
        <c:smooth val="0"/>
        <c:axId val="405694536"/>
        <c:axId val="405696504"/>
      </c:lineChart>
      <c:catAx>
        <c:axId val="405694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05696504"/>
        <c:crosses val="autoZero"/>
        <c:auto val="1"/>
        <c:lblAlgn val="ctr"/>
        <c:lblOffset val="100"/>
        <c:noMultiLvlLbl val="0"/>
      </c:catAx>
      <c:valAx>
        <c:axId val="40569650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05694536"/>
        <c:crosses val="autoZero"/>
        <c:crossBetween val="between"/>
      </c:valAx>
      <c:spPr>
        <a:noFill/>
        <a:ln>
          <a:noFill/>
        </a:ln>
        <a:effectLst/>
      </c:spPr>
    </c:plotArea>
    <c:legend>
      <c:legendPos val="b"/>
      <c:layout>
        <c:manualLayout>
          <c:xMode val="edge"/>
          <c:yMode val="edge"/>
          <c:x val="2.4986087710325532E-2"/>
          <c:y val="0.79832717848380708"/>
          <c:w val="0.96746968823836066"/>
          <c:h val="0.16264373409001276"/>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Data!$B$29</c:f>
              <c:strCache>
                <c:ptCount val="1"/>
                <c:pt idx="0">
                  <c:v>Average order value</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Data!$C$29:$Z$29</c:f>
              <c:numCache>
                <c:formatCode>#,##0</c:formatCode>
                <c:ptCount val="24"/>
                <c:pt idx="0">
                  <c:v>21801</c:v>
                </c:pt>
                <c:pt idx="1">
                  <c:v>18292.206222330606</c:v>
                </c:pt>
                <c:pt idx="2" formatCode="_-* #\ ##0_-;\-* #\ ##0_-;_-* &quot;-&quot;??_-;_-@_-">
                  <c:v>18663</c:v>
                </c:pt>
                <c:pt idx="3">
                  <c:v>24591.124741091808</c:v>
                </c:pt>
                <c:pt idx="4">
                  <c:v>24865</c:v>
                </c:pt>
                <c:pt idx="5">
                  <c:v>17611.895132068366</c:v>
                </c:pt>
                <c:pt idx="6">
                  <c:v>25869.427288173156</c:v>
                </c:pt>
                <c:pt idx="7">
                  <c:v>17932</c:v>
                </c:pt>
                <c:pt idx="8">
                  <c:v>17716.129531582472</c:v>
                </c:pt>
                <c:pt idx="9">
                  <c:v>26485.162981306403</c:v>
                </c:pt>
                <c:pt idx="10">
                  <c:v>18019.562264188255</c:v>
                </c:pt>
                <c:pt idx="11">
                  <c:v>21512.90420623721</c:v>
                </c:pt>
                <c:pt idx="12">
                  <c:v>26307.99887799639</c:v>
                </c:pt>
                <c:pt idx="13">
                  <c:v>16717.880867426571</c:v>
                </c:pt>
                <c:pt idx="14">
                  <c:v>19079.902395894562</c:v>
                </c:pt>
                <c:pt idx="15">
                  <c:v>27059.674406119346</c:v>
                </c:pt>
                <c:pt idx="16">
                  <c:v>21050</c:v>
                </c:pt>
                <c:pt idx="17">
                  <c:v>21873.907425668236</c:v>
                </c:pt>
                <c:pt idx="18">
                  <c:v>31445.169501792556</c:v>
                </c:pt>
                <c:pt idx="19">
                  <c:v>18245.527288611</c:v>
                </c:pt>
                <c:pt idx="20">
                  <c:v>19278</c:v>
                </c:pt>
                <c:pt idx="21">
                  <c:v>32232.314177714423</c:v>
                </c:pt>
                <c:pt idx="22">
                  <c:v>16867.981336194563</c:v>
                </c:pt>
                <c:pt idx="23">
                  <c:v>27409.893321970871</c:v>
                </c:pt>
              </c:numCache>
            </c:numRef>
          </c:val>
          <c:smooth val="1"/>
          <c:extLst>
            <c:ext xmlns:c16="http://schemas.microsoft.com/office/drawing/2014/chart" uri="{C3380CC4-5D6E-409C-BE32-E72D297353CC}">
              <c16:uniqueId val="{00000000-3D68-48DE-B0A6-BA2334A1BD10}"/>
            </c:ext>
          </c:extLst>
        </c:ser>
        <c:dLbls>
          <c:showLegendKey val="0"/>
          <c:showVal val="0"/>
          <c:showCatName val="0"/>
          <c:showSerName val="0"/>
          <c:showPercent val="0"/>
          <c:showBubbleSize val="0"/>
        </c:dLbls>
        <c:smooth val="0"/>
        <c:axId val="815062392"/>
        <c:axId val="815060096"/>
      </c:lineChart>
      <c:catAx>
        <c:axId val="815062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15060096"/>
        <c:crosses val="autoZero"/>
        <c:auto val="1"/>
        <c:lblAlgn val="ctr"/>
        <c:lblOffset val="100"/>
        <c:noMultiLvlLbl val="0"/>
      </c:catAx>
      <c:valAx>
        <c:axId val="815060096"/>
        <c:scaling>
          <c:orientation val="minMax"/>
          <c:min val="11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15062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Data!$B$19</c:f>
              <c:strCache>
                <c:ptCount val="1"/>
                <c:pt idx="0">
                  <c:v>3PL Outbound Lens Scan</c:v>
                </c:pt>
              </c:strCache>
            </c:strRef>
          </c:tx>
          <c:spPr>
            <a:ln w="28575" cap="rnd">
              <a:solidFill>
                <a:schemeClr val="accent1"/>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Data!$C$19:$Z$19</c:f>
              <c:numCache>
                <c:formatCode>0%</c:formatCode>
                <c:ptCount val="24"/>
                <c:pt idx="0">
                  <c:v>0.24</c:v>
                </c:pt>
                <c:pt idx="1">
                  <c:v>0.4</c:v>
                </c:pt>
                <c:pt idx="2">
                  <c:v>0.44</c:v>
                </c:pt>
                <c:pt idx="3">
                  <c:v>0.35</c:v>
                </c:pt>
                <c:pt idx="4">
                  <c:v>0.35</c:v>
                </c:pt>
                <c:pt idx="5">
                  <c:v>0.8</c:v>
                </c:pt>
                <c:pt idx="6">
                  <c:v>0.87</c:v>
                </c:pt>
                <c:pt idx="7">
                  <c:v>0.94</c:v>
                </c:pt>
                <c:pt idx="8">
                  <c:v>0.87659259312264537</c:v>
                </c:pt>
                <c:pt idx="9">
                  <c:v>0.93110000000000004</c:v>
                </c:pt>
                <c:pt idx="10">
                  <c:v>0.94</c:v>
                </c:pt>
                <c:pt idx="11">
                  <c:v>0.92</c:v>
                </c:pt>
                <c:pt idx="12">
                  <c:v>0.88</c:v>
                </c:pt>
                <c:pt idx="13">
                  <c:v>0.9</c:v>
                </c:pt>
                <c:pt idx="14">
                  <c:v>0.92</c:v>
                </c:pt>
                <c:pt idx="15">
                  <c:v>0.89</c:v>
                </c:pt>
                <c:pt idx="16">
                  <c:v>0.87</c:v>
                </c:pt>
                <c:pt idx="17">
                  <c:v>0.84</c:v>
                </c:pt>
                <c:pt idx="18">
                  <c:v>0.8</c:v>
                </c:pt>
                <c:pt idx="19">
                  <c:v>0.88</c:v>
                </c:pt>
                <c:pt idx="20">
                  <c:v>0.92</c:v>
                </c:pt>
                <c:pt idx="21">
                  <c:v>0.95</c:v>
                </c:pt>
              </c:numCache>
            </c:numRef>
          </c:val>
          <c:smooth val="1"/>
          <c:extLst>
            <c:ext xmlns:c16="http://schemas.microsoft.com/office/drawing/2014/chart" uri="{C3380CC4-5D6E-409C-BE32-E72D297353CC}">
              <c16:uniqueId val="{00000000-929F-448A-BB8C-BEBEF36F4EA3}"/>
            </c:ext>
          </c:extLst>
        </c:ser>
        <c:ser>
          <c:idx val="1"/>
          <c:order val="1"/>
          <c:tx>
            <c:strRef>
              <c:f>Data!$B$20</c:f>
              <c:strCache>
                <c:ptCount val="1"/>
                <c:pt idx="0">
                  <c:v>3PL Outbound Lens Scan Target</c:v>
                </c:pt>
              </c:strCache>
            </c:strRef>
          </c:tx>
          <c:spPr>
            <a:ln w="28575" cap="rnd">
              <a:solidFill>
                <a:schemeClr val="accent2"/>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Data!$C$20:$Z$20</c:f>
              <c:numCache>
                <c:formatCode>0%</c:formatCode>
                <c:ptCount val="24"/>
                <c:pt idx="0">
                  <c:v>0.95</c:v>
                </c:pt>
                <c:pt idx="1">
                  <c:v>0.95</c:v>
                </c:pt>
                <c:pt idx="2">
                  <c:v>0.95</c:v>
                </c:pt>
                <c:pt idx="3">
                  <c:v>0.95</c:v>
                </c:pt>
                <c:pt idx="4">
                  <c:v>0.95</c:v>
                </c:pt>
                <c:pt idx="5">
                  <c:v>0.95</c:v>
                </c:pt>
                <c:pt idx="6">
                  <c:v>0.95</c:v>
                </c:pt>
                <c:pt idx="7">
                  <c:v>0.95</c:v>
                </c:pt>
                <c:pt idx="8">
                  <c:v>0.95</c:v>
                </c:pt>
                <c:pt idx="9">
                  <c:v>0.95</c:v>
                </c:pt>
                <c:pt idx="10">
                  <c:v>0.95</c:v>
                </c:pt>
                <c:pt idx="11">
                  <c:v>0.95</c:v>
                </c:pt>
                <c:pt idx="12">
                  <c:v>0.95</c:v>
                </c:pt>
                <c:pt idx="13">
                  <c:v>0.95</c:v>
                </c:pt>
                <c:pt idx="14">
                  <c:v>0.95</c:v>
                </c:pt>
                <c:pt idx="15">
                  <c:v>0.95</c:v>
                </c:pt>
                <c:pt idx="16">
                  <c:v>0.95</c:v>
                </c:pt>
                <c:pt idx="17">
                  <c:v>0.95</c:v>
                </c:pt>
                <c:pt idx="18">
                  <c:v>0.95</c:v>
                </c:pt>
                <c:pt idx="19">
                  <c:v>0.95</c:v>
                </c:pt>
                <c:pt idx="20">
                  <c:v>0.95</c:v>
                </c:pt>
                <c:pt idx="21">
                  <c:v>0.95</c:v>
                </c:pt>
              </c:numCache>
            </c:numRef>
          </c:val>
          <c:smooth val="0"/>
          <c:extLst>
            <c:ext xmlns:c16="http://schemas.microsoft.com/office/drawing/2014/chart" uri="{C3380CC4-5D6E-409C-BE32-E72D297353CC}">
              <c16:uniqueId val="{00000001-929F-448A-BB8C-BEBEF36F4EA3}"/>
            </c:ext>
          </c:extLst>
        </c:ser>
        <c:dLbls>
          <c:showLegendKey val="0"/>
          <c:showVal val="0"/>
          <c:showCatName val="0"/>
          <c:showSerName val="0"/>
          <c:showPercent val="0"/>
          <c:showBubbleSize val="0"/>
        </c:dLbls>
        <c:smooth val="0"/>
        <c:axId val="819171304"/>
        <c:axId val="819172616"/>
      </c:lineChart>
      <c:catAx>
        <c:axId val="819171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19172616"/>
        <c:crosses val="autoZero"/>
        <c:auto val="1"/>
        <c:lblAlgn val="ctr"/>
        <c:lblOffset val="100"/>
        <c:noMultiLvlLbl val="0"/>
      </c:catAx>
      <c:valAx>
        <c:axId val="81917261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19171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Data!$B$22</c:f>
              <c:strCache>
                <c:ptCount val="1"/>
                <c:pt idx="0">
                  <c:v>All complaints</c:v>
                </c:pt>
              </c:strCache>
            </c:strRef>
          </c:tx>
          <c:spPr>
            <a:ln w="28575" cap="rnd">
              <a:solidFill>
                <a:schemeClr val="accent1"/>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Data!$C$22:$Z$22</c:f>
              <c:numCache>
                <c:formatCode>General</c:formatCode>
                <c:ptCount val="24"/>
                <c:pt idx="0">
                  <c:v>38</c:v>
                </c:pt>
                <c:pt idx="1">
                  <c:v>28</c:v>
                </c:pt>
                <c:pt idx="2">
                  <c:v>28</c:v>
                </c:pt>
                <c:pt idx="3">
                  <c:v>28</c:v>
                </c:pt>
                <c:pt idx="4">
                  <c:v>36</c:v>
                </c:pt>
                <c:pt idx="5">
                  <c:v>21</c:v>
                </c:pt>
                <c:pt idx="6">
                  <c:v>19</c:v>
                </c:pt>
                <c:pt idx="7">
                  <c:v>22</c:v>
                </c:pt>
                <c:pt idx="8">
                  <c:v>15</c:v>
                </c:pt>
                <c:pt idx="9">
                  <c:v>33</c:v>
                </c:pt>
                <c:pt idx="10">
                  <c:v>13</c:v>
                </c:pt>
                <c:pt idx="11">
                  <c:v>27</c:v>
                </c:pt>
                <c:pt idx="12">
                  <c:v>34</c:v>
                </c:pt>
                <c:pt idx="13">
                  <c:v>17</c:v>
                </c:pt>
                <c:pt idx="14">
                  <c:v>27</c:v>
                </c:pt>
                <c:pt idx="15" formatCode="#,##0">
                  <c:v>30</c:v>
                </c:pt>
                <c:pt idx="16">
                  <c:v>25</c:v>
                </c:pt>
                <c:pt idx="17">
                  <c:v>31</c:v>
                </c:pt>
                <c:pt idx="18">
                  <c:v>24</c:v>
                </c:pt>
                <c:pt idx="19">
                  <c:v>33</c:v>
                </c:pt>
                <c:pt idx="20">
                  <c:v>35</c:v>
                </c:pt>
                <c:pt idx="21">
                  <c:v>38</c:v>
                </c:pt>
                <c:pt idx="22">
                  <c:v>52</c:v>
                </c:pt>
                <c:pt idx="23">
                  <c:v>60</c:v>
                </c:pt>
              </c:numCache>
            </c:numRef>
          </c:val>
          <c:smooth val="1"/>
          <c:extLst>
            <c:ext xmlns:c16="http://schemas.microsoft.com/office/drawing/2014/chart" uri="{C3380CC4-5D6E-409C-BE32-E72D297353CC}">
              <c16:uniqueId val="{00000000-E755-4550-A27D-D6B73CFFB562}"/>
            </c:ext>
          </c:extLst>
        </c:ser>
        <c:ser>
          <c:idx val="1"/>
          <c:order val="1"/>
          <c:tx>
            <c:strRef>
              <c:f>Data!$B$23</c:f>
              <c:strCache>
                <c:ptCount val="1"/>
                <c:pt idx="0">
                  <c:v>3PL area only</c:v>
                </c:pt>
              </c:strCache>
            </c:strRef>
          </c:tx>
          <c:spPr>
            <a:ln w="28575" cap="rnd">
              <a:solidFill>
                <a:schemeClr val="accent2"/>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Data!$C$23:$Z$23</c:f>
              <c:numCache>
                <c:formatCode>General</c:formatCode>
                <c:ptCount val="24"/>
                <c:pt idx="0">
                  <c:v>28</c:v>
                </c:pt>
                <c:pt idx="1">
                  <c:v>21</c:v>
                </c:pt>
                <c:pt idx="2">
                  <c:v>23</c:v>
                </c:pt>
                <c:pt idx="3">
                  <c:v>19</c:v>
                </c:pt>
                <c:pt idx="4">
                  <c:v>29</c:v>
                </c:pt>
                <c:pt idx="5">
                  <c:v>14</c:v>
                </c:pt>
                <c:pt idx="6">
                  <c:v>16</c:v>
                </c:pt>
                <c:pt idx="7">
                  <c:v>12</c:v>
                </c:pt>
                <c:pt idx="8">
                  <c:v>12</c:v>
                </c:pt>
                <c:pt idx="9">
                  <c:v>15</c:v>
                </c:pt>
                <c:pt idx="10">
                  <c:v>8</c:v>
                </c:pt>
                <c:pt idx="11">
                  <c:v>17</c:v>
                </c:pt>
                <c:pt idx="12">
                  <c:v>19</c:v>
                </c:pt>
                <c:pt idx="13">
                  <c:v>12</c:v>
                </c:pt>
                <c:pt idx="14">
                  <c:v>16</c:v>
                </c:pt>
                <c:pt idx="15">
                  <c:v>24</c:v>
                </c:pt>
                <c:pt idx="16">
                  <c:v>16</c:v>
                </c:pt>
                <c:pt idx="17">
                  <c:v>22</c:v>
                </c:pt>
                <c:pt idx="18">
                  <c:v>20</c:v>
                </c:pt>
                <c:pt idx="19">
                  <c:v>27</c:v>
                </c:pt>
                <c:pt idx="20">
                  <c:v>25</c:v>
                </c:pt>
                <c:pt idx="21">
                  <c:v>26</c:v>
                </c:pt>
                <c:pt idx="22">
                  <c:v>43</c:v>
                </c:pt>
                <c:pt idx="23">
                  <c:v>45</c:v>
                </c:pt>
              </c:numCache>
            </c:numRef>
          </c:val>
          <c:smooth val="1"/>
          <c:extLst>
            <c:ext xmlns:c16="http://schemas.microsoft.com/office/drawing/2014/chart" uri="{C3380CC4-5D6E-409C-BE32-E72D297353CC}">
              <c16:uniqueId val="{00000001-E755-4550-A27D-D6B73CFFB562}"/>
            </c:ext>
          </c:extLst>
        </c:ser>
        <c:ser>
          <c:idx val="2"/>
          <c:order val="2"/>
          <c:tx>
            <c:strRef>
              <c:f>Data!$B$25</c:f>
              <c:strCache>
                <c:ptCount val="1"/>
                <c:pt idx="0">
                  <c:v>3PL area only_complaints Target</c:v>
                </c:pt>
              </c:strCache>
            </c:strRef>
          </c:tx>
          <c:spPr>
            <a:ln w="28575" cap="rnd">
              <a:solidFill>
                <a:schemeClr val="accent3"/>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Data!$C$25:$Z$25</c:f>
              <c:numCache>
                <c:formatCode>General</c:formatCode>
                <c:ptCount val="24"/>
                <c:pt idx="0">
                  <c:v>20</c:v>
                </c:pt>
                <c:pt idx="1">
                  <c:v>20</c:v>
                </c:pt>
                <c:pt idx="2">
                  <c:v>20</c:v>
                </c:pt>
                <c:pt idx="3">
                  <c:v>20</c:v>
                </c:pt>
                <c:pt idx="4">
                  <c:v>20</c:v>
                </c:pt>
                <c:pt idx="5">
                  <c:v>20</c:v>
                </c:pt>
                <c:pt idx="6">
                  <c:v>20</c:v>
                </c:pt>
                <c:pt idx="7">
                  <c:v>20</c:v>
                </c:pt>
                <c:pt idx="8">
                  <c:v>20</c:v>
                </c:pt>
                <c:pt idx="9">
                  <c:v>20</c:v>
                </c:pt>
                <c:pt idx="10">
                  <c:v>20</c:v>
                </c:pt>
                <c:pt idx="11">
                  <c:v>20</c:v>
                </c:pt>
                <c:pt idx="12">
                  <c:v>20</c:v>
                </c:pt>
                <c:pt idx="13">
                  <c:v>20</c:v>
                </c:pt>
                <c:pt idx="14">
                  <c:v>20</c:v>
                </c:pt>
                <c:pt idx="15">
                  <c:v>20</c:v>
                </c:pt>
                <c:pt idx="16">
                  <c:v>20</c:v>
                </c:pt>
                <c:pt idx="17">
                  <c:v>20</c:v>
                </c:pt>
                <c:pt idx="18">
                  <c:v>20</c:v>
                </c:pt>
                <c:pt idx="19">
                  <c:v>20</c:v>
                </c:pt>
                <c:pt idx="20">
                  <c:v>20</c:v>
                </c:pt>
                <c:pt idx="21">
                  <c:v>20</c:v>
                </c:pt>
                <c:pt idx="22">
                  <c:v>20</c:v>
                </c:pt>
                <c:pt idx="23">
                  <c:v>20</c:v>
                </c:pt>
              </c:numCache>
            </c:numRef>
          </c:val>
          <c:smooth val="0"/>
          <c:extLst>
            <c:ext xmlns:c16="http://schemas.microsoft.com/office/drawing/2014/chart" uri="{C3380CC4-5D6E-409C-BE32-E72D297353CC}">
              <c16:uniqueId val="{00000004-2DD4-4653-9C01-D02FB83E7C57}"/>
            </c:ext>
          </c:extLst>
        </c:ser>
        <c:ser>
          <c:idx val="3"/>
          <c:order val="3"/>
          <c:tx>
            <c:strRef>
              <c:f>Data!$B$24</c:f>
              <c:strCache>
                <c:ptCount val="1"/>
                <c:pt idx="0">
                  <c:v>RDC area only</c:v>
                </c:pt>
              </c:strCache>
            </c:strRef>
          </c:tx>
          <c:spPr>
            <a:ln w="28575" cap="rnd">
              <a:solidFill>
                <a:schemeClr val="accent4"/>
              </a:solidFill>
              <a:round/>
            </a:ln>
            <a:effectLst/>
          </c:spPr>
          <c:marker>
            <c:symbol val="none"/>
          </c:marker>
          <c:val>
            <c:numRef>
              <c:f>Data!$C$24:$Z$24</c:f>
              <c:numCache>
                <c:formatCode>General</c:formatCode>
                <c:ptCount val="24"/>
                <c:pt idx="10">
                  <c:v>1</c:v>
                </c:pt>
                <c:pt idx="11">
                  <c:v>2</c:v>
                </c:pt>
                <c:pt idx="12">
                  <c:v>5</c:v>
                </c:pt>
                <c:pt idx="13">
                  <c:v>3</c:v>
                </c:pt>
                <c:pt idx="14">
                  <c:v>1</c:v>
                </c:pt>
                <c:pt idx="15">
                  <c:v>0</c:v>
                </c:pt>
                <c:pt idx="16">
                  <c:v>1</c:v>
                </c:pt>
                <c:pt idx="17">
                  <c:v>1</c:v>
                </c:pt>
                <c:pt idx="18">
                  <c:v>0</c:v>
                </c:pt>
                <c:pt idx="19">
                  <c:v>2</c:v>
                </c:pt>
                <c:pt idx="20">
                  <c:v>3</c:v>
                </c:pt>
                <c:pt idx="21">
                  <c:v>4</c:v>
                </c:pt>
                <c:pt idx="22">
                  <c:v>0</c:v>
                </c:pt>
              </c:numCache>
            </c:numRef>
          </c:val>
          <c:smooth val="0"/>
          <c:extLst>
            <c:ext xmlns:c16="http://schemas.microsoft.com/office/drawing/2014/chart" uri="{C3380CC4-5D6E-409C-BE32-E72D297353CC}">
              <c16:uniqueId val="{00000000-E055-45E0-BBA1-E8332CE1A46F}"/>
            </c:ext>
          </c:extLst>
        </c:ser>
        <c:dLbls>
          <c:showLegendKey val="0"/>
          <c:showVal val="0"/>
          <c:showCatName val="0"/>
          <c:showSerName val="0"/>
          <c:showPercent val="0"/>
          <c:showBubbleSize val="0"/>
        </c:dLbls>
        <c:smooth val="0"/>
        <c:axId val="405717824"/>
        <c:axId val="405720776"/>
      </c:lineChart>
      <c:catAx>
        <c:axId val="40571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05720776"/>
        <c:crosses val="autoZero"/>
        <c:auto val="1"/>
        <c:lblAlgn val="ctr"/>
        <c:lblOffset val="100"/>
        <c:noMultiLvlLbl val="0"/>
      </c:catAx>
      <c:valAx>
        <c:axId val="405720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05717824"/>
        <c:crosses val="autoZero"/>
        <c:crossBetween val="between"/>
      </c:valAx>
      <c:spPr>
        <a:noFill/>
        <a:ln>
          <a:noFill/>
        </a:ln>
        <a:effectLst/>
      </c:spPr>
    </c:plotArea>
    <c:legend>
      <c:legendPos val="b"/>
      <c:layout>
        <c:manualLayout>
          <c:xMode val="edge"/>
          <c:yMode val="edge"/>
          <c:x val="2.1139542090403848E-2"/>
          <c:y val="0.72311930763611731"/>
          <c:w val="0.49526141543339086"/>
          <c:h val="0.276880676890352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Data!$B$31</c:f>
              <c:strCache>
                <c:ptCount val="1"/>
                <c:pt idx="0">
                  <c:v>Logistic cost per pack</c:v>
                </c:pt>
              </c:strCache>
            </c:strRef>
          </c:tx>
          <c:spPr>
            <a:ln w="28575" cap="rnd">
              <a:solidFill>
                <a:schemeClr val="accent1"/>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Data!$C$31:$Z$31</c:f>
              <c:numCache>
                <c:formatCode>#,##0</c:formatCode>
                <c:ptCount val="24"/>
                <c:pt idx="0">
                  <c:v>67</c:v>
                </c:pt>
                <c:pt idx="1">
                  <c:v>79</c:v>
                </c:pt>
                <c:pt idx="2">
                  <c:v>94</c:v>
                </c:pt>
                <c:pt idx="3">
                  <c:v>66</c:v>
                </c:pt>
                <c:pt idx="4">
                  <c:v>68</c:v>
                </c:pt>
                <c:pt idx="5">
                  <c:v>95.836147121297671</c:v>
                </c:pt>
                <c:pt idx="6">
                  <c:v>71</c:v>
                </c:pt>
                <c:pt idx="7">
                  <c:v>104</c:v>
                </c:pt>
                <c:pt idx="8">
                  <c:v>88</c:v>
                </c:pt>
                <c:pt idx="9">
                  <c:v>68.403375264631279</c:v>
                </c:pt>
                <c:pt idx="10">
                  <c:v>122</c:v>
                </c:pt>
                <c:pt idx="11">
                  <c:v>88</c:v>
                </c:pt>
                <c:pt idx="12">
                  <c:v>73.996807098994466</c:v>
                </c:pt>
                <c:pt idx="13">
                  <c:v>114</c:v>
                </c:pt>
                <c:pt idx="14">
                  <c:v>88</c:v>
                </c:pt>
                <c:pt idx="15">
                  <c:v>74</c:v>
                </c:pt>
                <c:pt idx="16">
                  <c:v>90</c:v>
                </c:pt>
                <c:pt idx="17">
                  <c:v>80.400000000000006</c:v>
                </c:pt>
                <c:pt idx="18">
                  <c:v>92</c:v>
                </c:pt>
                <c:pt idx="19">
                  <c:v>127</c:v>
                </c:pt>
                <c:pt idx="20">
                  <c:v>99</c:v>
                </c:pt>
                <c:pt idx="21">
                  <c:v>79</c:v>
                </c:pt>
                <c:pt idx="22">
                  <c:v>149</c:v>
                </c:pt>
                <c:pt idx="23">
                  <c:v>97.252843240333448</c:v>
                </c:pt>
              </c:numCache>
            </c:numRef>
          </c:val>
          <c:smooth val="1"/>
          <c:extLst>
            <c:ext xmlns:c16="http://schemas.microsoft.com/office/drawing/2014/chart" uri="{C3380CC4-5D6E-409C-BE32-E72D297353CC}">
              <c16:uniqueId val="{00000000-35D6-488E-A916-64F931AD05CD}"/>
            </c:ext>
          </c:extLst>
        </c:ser>
        <c:dLbls>
          <c:showLegendKey val="0"/>
          <c:showVal val="0"/>
          <c:showCatName val="0"/>
          <c:showSerName val="0"/>
          <c:showPercent val="0"/>
          <c:showBubbleSize val="0"/>
        </c:dLbls>
        <c:smooth val="0"/>
        <c:axId val="414323656"/>
        <c:axId val="414332840"/>
      </c:lineChart>
      <c:catAx>
        <c:axId val="414323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14332840"/>
        <c:crosses val="autoZero"/>
        <c:auto val="1"/>
        <c:lblAlgn val="ctr"/>
        <c:lblOffset val="100"/>
        <c:noMultiLvlLbl val="0"/>
      </c:catAx>
      <c:valAx>
        <c:axId val="414332840"/>
        <c:scaling>
          <c:orientation val="minMax"/>
          <c:min val="3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14323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92084888136373"/>
          <c:y val="7.8014184397163122E-2"/>
          <c:w val="0.8068049687943496"/>
          <c:h val="0.67907633886189755"/>
        </c:manualLayout>
      </c:layout>
      <c:lineChart>
        <c:grouping val="standard"/>
        <c:varyColors val="0"/>
        <c:ser>
          <c:idx val="0"/>
          <c:order val="0"/>
          <c:tx>
            <c:strRef>
              <c:f>Data!$B$35</c:f>
              <c:strCache>
                <c:ptCount val="1"/>
                <c:pt idx="0">
                  <c:v>Distribution Forecast Accuracy</c:v>
                </c:pt>
              </c:strCache>
            </c:strRef>
          </c:tx>
          <c:spPr>
            <a:ln w="28575" cap="rnd">
              <a:solidFill>
                <a:schemeClr val="accent1"/>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Data!$C$35:$Z$35</c:f>
              <c:numCache>
                <c:formatCode>0.0%</c:formatCode>
                <c:ptCount val="24"/>
                <c:pt idx="0">
                  <c:v>1.2751893606722353E-2</c:v>
                </c:pt>
                <c:pt idx="1">
                  <c:v>-3.1E-2</c:v>
                </c:pt>
                <c:pt idx="2">
                  <c:v>4.3999999999999997E-2</c:v>
                </c:pt>
                <c:pt idx="3">
                  <c:v>0.128</c:v>
                </c:pt>
                <c:pt idx="4">
                  <c:v>5.9552476019400528E-3</c:v>
                </c:pt>
                <c:pt idx="5">
                  <c:v>-4.78208543095116E-2</c:v>
                </c:pt>
                <c:pt idx="6">
                  <c:v>-8.4000000000000005E-2</c:v>
                </c:pt>
                <c:pt idx="7">
                  <c:v>3.4000000000000002E-2</c:v>
                </c:pt>
                <c:pt idx="8">
                  <c:v>9.6998869649869354E-2</c:v>
                </c:pt>
                <c:pt idx="9">
                  <c:v>3.179354641678693E-2</c:v>
                </c:pt>
                <c:pt idx="10">
                  <c:v>2.1000000000000001E-2</c:v>
                </c:pt>
                <c:pt idx="11">
                  <c:v>-1.8368424814339455E-2</c:v>
                </c:pt>
                <c:pt idx="12">
                  <c:v>-3.345403205389285E-2</c:v>
                </c:pt>
                <c:pt idx="13">
                  <c:v>-0.03</c:v>
                </c:pt>
                <c:pt idx="14">
                  <c:v>-3.4000000000000002E-2</c:v>
                </c:pt>
                <c:pt idx="15">
                  <c:v>-3.5999999999999997E-2</c:v>
                </c:pt>
                <c:pt idx="16">
                  <c:v>7.7531423875353847E-2</c:v>
                </c:pt>
                <c:pt idx="17">
                  <c:v>-1.6673509990633061E-2</c:v>
                </c:pt>
                <c:pt idx="18">
                  <c:v>-4.0000000000000001E-3</c:v>
                </c:pt>
                <c:pt idx="19">
                  <c:v>-4.9000000000000002E-2</c:v>
                </c:pt>
                <c:pt idx="20">
                  <c:v>-0.03</c:v>
                </c:pt>
                <c:pt idx="21">
                  <c:v>-5.1999999999999998E-2</c:v>
                </c:pt>
                <c:pt idx="22">
                  <c:v>-4.9000000000000002E-2</c:v>
                </c:pt>
                <c:pt idx="23">
                  <c:v>3.4000000000000002E-2</c:v>
                </c:pt>
              </c:numCache>
            </c:numRef>
          </c:val>
          <c:smooth val="1"/>
          <c:extLst>
            <c:ext xmlns:c16="http://schemas.microsoft.com/office/drawing/2014/chart" uri="{C3380CC4-5D6E-409C-BE32-E72D297353CC}">
              <c16:uniqueId val="{00000000-A1BD-4C51-8E01-EFC80DEF0F81}"/>
            </c:ext>
          </c:extLst>
        </c:ser>
        <c:ser>
          <c:idx val="1"/>
          <c:order val="1"/>
          <c:tx>
            <c:strRef>
              <c:f>Data!$B$36</c:f>
              <c:strCache>
                <c:ptCount val="1"/>
                <c:pt idx="0">
                  <c:v>Sales Units Forecast Accuracy</c:v>
                </c:pt>
              </c:strCache>
            </c:strRef>
          </c:tx>
          <c:spPr>
            <a:ln w="28575" cap="rnd">
              <a:solidFill>
                <a:schemeClr val="accent2"/>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Data!$C$36:$Z$36</c:f>
              <c:numCache>
                <c:formatCode>0.0%</c:formatCode>
                <c:ptCount val="24"/>
                <c:pt idx="0">
                  <c:v>3.5184608215899658E-2</c:v>
                </c:pt>
                <c:pt idx="1">
                  <c:v>-6.5000000000000002E-2</c:v>
                </c:pt>
                <c:pt idx="2">
                  <c:v>-0.13200000000000001</c:v>
                </c:pt>
                <c:pt idx="3">
                  <c:v>0.28100000000000003</c:v>
                </c:pt>
                <c:pt idx="4">
                  <c:v>3.6205163481817432E-2</c:v>
                </c:pt>
                <c:pt idx="5">
                  <c:v>-0.23366978882778991</c:v>
                </c:pt>
                <c:pt idx="6">
                  <c:v>-8.5999999999999993E-2</c:v>
                </c:pt>
                <c:pt idx="7">
                  <c:v>-0.14799999999999999</c:v>
                </c:pt>
                <c:pt idx="8">
                  <c:v>-3.3125851118957807E-2</c:v>
                </c:pt>
                <c:pt idx="9">
                  <c:v>0.16086156829884005</c:v>
                </c:pt>
                <c:pt idx="10">
                  <c:v>-0.29699999999999999</c:v>
                </c:pt>
                <c:pt idx="11">
                  <c:v>-4.1868221013730736E-2</c:v>
                </c:pt>
                <c:pt idx="12">
                  <c:v>6.3223226342578168E-2</c:v>
                </c:pt>
                <c:pt idx="13">
                  <c:v>-0.29121036720036253</c:v>
                </c:pt>
                <c:pt idx="14">
                  <c:v>-5.6000000000000001E-2</c:v>
                </c:pt>
                <c:pt idx="15">
                  <c:v>6.5000000000000002E-2</c:v>
                </c:pt>
                <c:pt idx="16">
                  <c:v>-0.29211707268402304</c:v>
                </c:pt>
                <c:pt idx="17">
                  <c:v>0.12363819890252252</c:v>
                </c:pt>
                <c:pt idx="18">
                  <c:v>-0.1</c:v>
                </c:pt>
                <c:pt idx="19">
                  <c:v>-0.26700000000000002</c:v>
                </c:pt>
                <c:pt idx="20">
                  <c:v>-0.252</c:v>
                </c:pt>
                <c:pt idx="21">
                  <c:v>-7.4999999999999997E-2</c:v>
                </c:pt>
                <c:pt idx="22">
                  <c:v>-0.41799999999999998</c:v>
                </c:pt>
                <c:pt idx="23">
                  <c:v>-6.0000000000000001E-3</c:v>
                </c:pt>
              </c:numCache>
            </c:numRef>
          </c:val>
          <c:smooth val="1"/>
          <c:extLst>
            <c:ext xmlns:c16="http://schemas.microsoft.com/office/drawing/2014/chart" uri="{C3380CC4-5D6E-409C-BE32-E72D297353CC}">
              <c16:uniqueId val="{00000001-A1BD-4C51-8E01-EFC80DEF0F81}"/>
            </c:ext>
          </c:extLst>
        </c:ser>
        <c:dLbls>
          <c:showLegendKey val="0"/>
          <c:showVal val="0"/>
          <c:showCatName val="0"/>
          <c:showSerName val="0"/>
          <c:showPercent val="0"/>
          <c:showBubbleSize val="0"/>
        </c:dLbls>
        <c:smooth val="0"/>
        <c:axId val="405712576"/>
        <c:axId val="405703720"/>
      </c:lineChart>
      <c:catAx>
        <c:axId val="40571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05703720"/>
        <c:crosses val="autoZero"/>
        <c:auto val="1"/>
        <c:lblAlgn val="ctr"/>
        <c:lblOffset val="100"/>
        <c:noMultiLvlLbl val="0"/>
      </c:catAx>
      <c:valAx>
        <c:axId val="405703720"/>
        <c:scaling>
          <c:orientation val="minMax"/>
          <c:max val="0.5"/>
          <c:min val="-0.4"/>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05712576"/>
        <c:crosses val="autoZero"/>
        <c:crossBetween val="between"/>
      </c:valAx>
      <c:spPr>
        <a:noFill/>
        <a:ln>
          <a:noFill/>
        </a:ln>
        <a:effectLst/>
      </c:spPr>
    </c:plotArea>
    <c:legend>
      <c:legendPos val="b"/>
      <c:layout>
        <c:manualLayout>
          <c:xMode val="edge"/>
          <c:yMode val="edge"/>
          <c:x val="1.0341426528364559E-2"/>
          <c:y val="0.86347350198246497"/>
          <c:w val="0.97583740184877721"/>
          <c:h val="9.3973306528173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216692253091005"/>
          <c:y val="7.2607260726072612E-2"/>
          <c:w val="0.83939841639291946"/>
          <c:h val="0.4576882097658585"/>
        </c:manualLayout>
      </c:layout>
      <c:lineChart>
        <c:grouping val="standard"/>
        <c:varyColors val="0"/>
        <c:ser>
          <c:idx val="0"/>
          <c:order val="0"/>
          <c:tx>
            <c:strRef>
              <c:f>Data!$B$60</c:f>
              <c:strCache>
                <c:ptCount val="1"/>
                <c:pt idx="0">
                  <c:v>D-DOT (Despatch and Delivery on Time)</c:v>
                </c:pt>
              </c:strCache>
            </c:strRef>
          </c:tx>
          <c:spPr>
            <a:ln w="28575" cap="rnd">
              <a:solidFill>
                <a:schemeClr val="accent1"/>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Data!$C$60:$Z$60</c:f>
              <c:numCache>
                <c:formatCode>0.0%</c:formatCode>
                <c:ptCount val="24"/>
                <c:pt idx="0">
                  <c:v>0.9677</c:v>
                </c:pt>
                <c:pt idx="1">
                  <c:v>0.98019999999999996</c:v>
                </c:pt>
                <c:pt idx="2">
                  <c:v>0.96140000000000003</c:v>
                </c:pt>
                <c:pt idx="3">
                  <c:v>0.95950000000000002</c:v>
                </c:pt>
                <c:pt idx="4">
                  <c:v>0.96030000000000004</c:v>
                </c:pt>
                <c:pt idx="5">
                  <c:v>0.95689999999999997</c:v>
                </c:pt>
                <c:pt idx="6">
                  <c:v>0.95020000000000004</c:v>
                </c:pt>
                <c:pt idx="7">
                  <c:v>0.97660000000000002</c:v>
                </c:pt>
                <c:pt idx="8">
                  <c:v>0.97270000000000001</c:v>
                </c:pt>
                <c:pt idx="9">
                  <c:v>0.95979999999999999</c:v>
                </c:pt>
                <c:pt idx="10">
                  <c:v>0.98270000000000002</c:v>
                </c:pt>
                <c:pt idx="11">
                  <c:v>0.92259999999999998</c:v>
                </c:pt>
                <c:pt idx="12">
                  <c:v>0.97619999999999996</c:v>
                </c:pt>
                <c:pt idx="13">
                  <c:v>0.97430000000000005</c:v>
                </c:pt>
                <c:pt idx="14">
                  <c:v>0.95720000000000005</c:v>
                </c:pt>
                <c:pt idx="15">
                  <c:v>0.95340000000000003</c:v>
                </c:pt>
                <c:pt idx="16">
                  <c:v>0.95725000000000005</c:v>
                </c:pt>
                <c:pt idx="17">
                  <c:v>0.877</c:v>
                </c:pt>
                <c:pt idx="18">
                  <c:v>0.90069999999999995</c:v>
                </c:pt>
                <c:pt idx="19">
                  <c:v>0.94469999999999998</c:v>
                </c:pt>
                <c:pt idx="20">
                  <c:v>0.94640000000000002</c:v>
                </c:pt>
                <c:pt idx="21">
                  <c:v>0.94310000000000005</c:v>
                </c:pt>
                <c:pt idx="22">
                  <c:v>0.85860000000000003</c:v>
                </c:pt>
                <c:pt idx="23">
                  <c:v>0.92259999999999998</c:v>
                </c:pt>
              </c:numCache>
            </c:numRef>
          </c:val>
          <c:smooth val="1"/>
          <c:extLst>
            <c:ext xmlns:c16="http://schemas.microsoft.com/office/drawing/2014/chart" uri="{C3380CC4-5D6E-409C-BE32-E72D297353CC}">
              <c16:uniqueId val="{00000000-0F04-4394-A588-FED21F242C9F}"/>
            </c:ext>
          </c:extLst>
        </c:ser>
        <c:ser>
          <c:idx val="1"/>
          <c:order val="1"/>
          <c:tx>
            <c:strRef>
              <c:f>Data!$B$65</c:f>
              <c:strCache>
                <c:ptCount val="1"/>
                <c:pt idx="0">
                  <c:v>Delivery on Time Target</c:v>
                </c:pt>
              </c:strCache>
            </c:strRef>
          </c:tx>
          <c:spPr>
            <a:ln w="28575" cap="rnd">
              <a:solidFill>
                <a:schemeClr val="accent2"/>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Data!$C$65:$Z$65</c:f>
              <c:numCache>
                <c:formatCode>0.0%</c:formatCode>
                <c:ptCount val="24"/>
                <c:pt idx="0">
                  <c:v>0.95</c:v>
                </c:pt>
                <c:pt idx="1">
                  <c:v>0.95</c:v>
                </c:pt>
                <c:pt idx="2">
                  <c:v>0.95</c:v>
                </c:pt>
                <c:pt idx="3">
                  <c:v>0.95</c:v>
                </c:pt>
                <c:pt idx="4">
                  <c:v>0.95</c:v>
                </c:pt>
                <c:pt idx="5">
                  <c:v>0.95</c:v>
                </c:pt>
                <c:pt idx="6">
                  <c:v>0.95</c:v>
                </c:pt>
                <c:pt idx="7">
                  <c:v>0.95</c:v>
                </c:pt>
                <c:pt idx="8">
                  <c:v>0.95</c:v>
                </c:pt>
                <c:pt idx="9">
                  <c:v>0.95</c:v>
                </c:pt>
                <c:pt idx="10">
                  <c:v>0.95</c:v>
                </c:pt>
                <c:pt idx="11">
                  <c:v>0.95</c:v>
                </c:pt>
                <c:pt idx="12">
                  <c:v>0.95</c:v>
                </c:pt>
                <c:pt idx="13">
                  <c:v>0.95</c:v>
                </c:pt>
                <c:pt idx="14">
                  <c:v>0.95</c:v>
                </c:pt>
                <c:pt idx="15">
                  <c:v>0.95</c:v>
                </c:pt>
                <c:pt idx="16">
                  <c:v>0.95</c:v>
                </c:pt>
                <c:pt idx="17">
                  <c:v>0.95</c:v>
                </c:pt>
                <c:pt idx="18">
                  <c:v>0.95</c:v>
                </c:pt>
                <c:pt idx="19">
                  <c:v>0.95</c:v>
                </c:pt>
                <c:pt idx="20">
                  <c:v>0.95</c:v>
                </c:pt>
                <c:pt idx="21">
                  <c:v>0.95</c:v>
                </c:pt>
                <c:pt idx="22">
                  <c:v>0.95</c:v>
                </c:pt>
                <c:pt idx="23">
                  <c:v>0.95</c:v>
                </c:pt>
              </c:numCache>
            </c:numRef>
          </c:val>
          <c:smooth val="0"/>
          <c:extLst>
            <c:ext xmlns:c16="http://schemas.microsoft.com/office/drawing/2014/chart" uri="{C3380CC4-5D6E-409C-BE32-E72D297353CC}">
              <c16:uniqueId val="{00000001-0F04-4394-A588-FED21F242C9F}"/>
            </c:ext>
          </c:extLst>
        </c:ser>
        <c:ser>
          <c:idx val="2"/>
          <c:order val="2"/>
          <c:tx>
            <c:strRef>
              <c:f>Data!$B$61</c:f>
              <c:strCache>
                <c:ptCount val="1"/>
                <c:pt idx="0">
                  <c:v>E2E OTIF Russia (order)</c:v>
                </c:pt>
              </c:strCache>
            </c:strRef>
          </c:tx>
          <c:spPr>
            <a:ln w="28575" cap="rnd">
              <a:solidFill>
                <a:schemeClr val="accent3"/>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Data!$C$61:$Z$61</c:f>
              <c:numCache>
                <c:formatCode>0.0%</c:formatCode>
                <c:ptCount val="24"/>
                <c:pt idx="1">
                  <c:v>0.48</c:v>
                </c:pt>
                <c:pt idx="2">
                  <c:v>0.43</c:v>
                </c:pt>
                <c:pt idx="3">
                  <c:v>0.82</c:v>
                </c:pt>
                <c:pt idx="4">
                  <c:v>0.8</c:v>
                </c:pt>
                <c:pt idx="5">
                  <c:v>0.82</c:v>
                </c:pt>
                <c:pt idx="6">
                  <c:v>0.8</c:v>
                </c:pt>
                <c:pt idx="7">
                  <c:v>0.83</c:v>
                </c:pt>
                <c:pt idx="8">
                  <c:v>0.84</c:v>
                </c:pt>
                <c:pt idx="9">
                  <c:v>0.83</c:v>
                </c:pt>
                <c:pt idx="10">
                  <c:v>0.82</c:v>
                </c:pt>
                <c:pt idx="11">
                  <c:v>0.8</c:v>
                </c:pt>
                <c:pt idx="12">
                  <c:v>0.83</c:v>
                </c:pt>
                <c:pt idx="13">
                  <c:v>0.78</c:v>
                </c:pt>
                <c:pt idx="14">
                  <c:v>0.79</c:v>
                </c:pt>
                <c:pt idx="15">
                  <c:v>0.8</c:v>
                </c:pt>
                <c:pt idx="16">
                  <c:v>0.79</c:v>
                </c:pt>
                <c:pt idx="17">
                  <c:v>0.74</c:v>
                </c:pt>
                <c:pt idx="18">
                  <c:v>0.75</c:v>
                </c:pt>
                <c:pt idx="19">
                  <c:v>0.77</c:v>
                </c:pt>
                <c:pt idx="20">
                  <c:v>0.8</c:v>
                </c:pt>
                <c:pt idx="21">
                  <c:v>0.82</c:v>
                </c:pt>
                <c:pt idx="22">
                  <c:v>0.68</c:v>
                </c:pt>
                <c:pt idx="23">
                  <c:v>0.71</c:v>
                </c:pt>
              </c:numCache>
            </c:numRef>
          </c:val>
          <c:smooth val="1"/>
          <c:extLst>
            <c:ext xmlns:c16="http://schemas.microsoft.com/office/drawing/2014/chart" uri="{C3380CC4-5D6E-409C-BE32-E72D297353CC}">
              <c16:uniqueId val="{00000001-B0AB-4E1A-890C-BA2077118A44}"/>
            </c:ext>
          </c:extLst>
        </c:ser>
        <c:ser>
          <c:idx val="3"/>
          <c:order val="3"/>
          <c:tx>
            <c:strRef>
              <c:f>Data!$B$62</c:f>
              <c:strCache>
                <c:ptCount val="1"/>
                <c:pt idx="0">
                  <c:v>WH OTIF Global (order)</c:v>
                </c:pt>
              </c:strCache>
            </c:strRef>
          </c:tx>
          <c:spPr>
            <a:ln w="28575" cap="rnd">
              <a:solidFill>
                <a:schemeClr val="accent4"/>
              </a:solidFill>
              <a:round/>
            </a:ln>
            <a:effectLst/>
          </c:spPr>
          <c:marker>
            <c:symbol val="none"/>
          </c:marker>
          <c:val>
            <c:numRef>
              <c:f>Data!$C$62:$Z$62</c:f>
              <c:numCache>
                <c:formatCode>0.0%</c:formatCode>
                <c:ptCount val="24"/>
                <c:pt idx="3">
                  <c:v>0.82</c:v>
                </c:pt>
                <c:pt idx="4">
                  <c:v>0.83</c:v>
                </c:pt>
                <c:pt idx="5">
                  <c:v>0.86</c:v>
                </c:pt>
                <c:pt idx="6">
                  <c:v>0.86</c:v>
                </c:pt>
                <c:pt idx="7">
                  <c:v>0.86</c:v>
                </c:pt>
                <c:pt idx="8">
                  <c:v>0.88</c:v>
                </c:pt>
                <c:pt idx="9">
                  <c:v>0.86</c:v>
                </c:pt>
                <c:pt idx="10">
                  <c:v>0.86</c:v>
                </c:pt>
                <c:pt idx="11">
                  <c:v>0.86</c:v>
                </c:pt>
                <c:pt idx="12">
                  <c:v>0.86</c:v>
                </c:pt>
                <c:pt idx="13">
                  <c:v>0.82</c:v>
                </c:pt>
                <c:pt idx="14">
                  <c:v>0.84</c:v>
                </c:pt>
                <c:pt idx="15">
                  <c:v>0.84</c:v>
                </c:pt>
                <c:pt idx="16">
                  <c:v>0.81</c:v>
                </c:pt>
                <c:pt idx="17">
                  <c:v>0.76</c:v>
                </c:pt>
                <c:pt idx="18">
                  <c:v>0.76</c:v>
                </c:pt>
                <c:pt idx="19">
                  <c:v>0.79</c:v>
                </c:pt>
                <c:pt idx="20">
                  <c:v>0.83</c:v>
                </c:pt>
                <c:pt idx="21">
                  <c:v>0.84</c:v>
                </c:pt>
                <c:pt idx="22">
                  <c:v>0.73</c:v>
                </c:pt>
                <c:pt idx="23">
                  <c:v>0.77</c:v>
                </c:pt>
              </c:numCache>
            </c:numRef>
          </c:val>
          <c:smooth val="1"/>
          <c:extLst>
            <c:ext xmlns:c16="http://schemas.microsoft.com/office/drawing/2014/chart" uri="{C3380CC4-5D6E-409C-BE32-E72D297353CC}">
              <c16:uniqueId val="{00000001-EAC6-48E3-A95D-9CEA6FA33275}"/>
            </c:ext>
          </c:extLst>
        </c:ser>
        <c:dLbls>
          <c:showLegendKey val="0"/>
          <c:showVal val="0"/>
          <c:showCatName val="0"/>
          <c:showSerName val="0"/>
          <c:showPercent val="0"/>
          <c:showBubbleSize val="0"/>
        </c:dLbls>
        <c:smooth val="0"/>
        <c:axId val="580704560"/>
        <c:axId val="580714072"/>
      </c:lineChart>
      <c:catAx>
        <c:axId val="58070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80714072"/>
        <c:crosses val="autoZero"/>
        <c:auto val="1"/>
        <c:lblAlgn val="ctr"/>
        <c:lblOffset val="100"/>
        <c:noMultiLvlLbl val="0"/>
      </c:catAx>
      <c:valAx>
        <c:axId val="580714072"/>
        <c:scaling>
          <c:orientation val="minMax"/>
          <c:max val="1"/>
          <c:min val="0.70000000000000007"/>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80704560"/>
        <c:crosses val="autoZero"/>
        <c:crossBetween val="between"/>
        <c:majorUnit val="0.1"/>
        <c:minorUnit val="5.000000000000001E-2"/>
      </c:valAx>
      <c:spPr>
        <a:noFill/>
        <a:ln>
          <a:noFill/>
        </a:ln>
        <a:effectLst/>
      </c:spPr>
    </c:plotArea>
    <c:legend>
      <c:legendPos val="b"/>
      <c:layout>
        <c:manualLayout>
          <c:xMode val="edge"/>
          <c:yMode val="edge"/>
          <c:x val="2.7837204311725188E-2"/>
          <c:y val="0.74582885060159554"/>
          <c:w val="0.92336095566670517"/>
          <c:h val="0.21456718900236477"/>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Data!$B$67</c:f>
              <c:strCache>
                <c:ptCount val="1"/>
                <c:pt idx="0">
                  <c:v>Freight Cost</c:v>
                </c:pt>
              </c:strCache>
            </c:strRef>
          </c:tx>
          <c:spPr>
            <a:ln w="28575" cap="rnd">
              <a:solidFill>
                <a:schemeClr val="accent1"/>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Data!$C$67:$Z$67</c:f>
              <c:numCache>
                <c:formatCode>0.0%</c:formatCode>
                <c:ptCount val="24"/>
                <c:pt idx="0">
                  <c:v>1.5301123522816543E-2</c:v>
                </c:pt>
                <c:pt idx="1">
                  <c:v>1.89E-2</c:v>
                </c:pt>
                <c:pt idx="2">
                  <c:v>0.02</c:v>
                </c:pt>
                <c:pt idx="3">
                  <c:v>1.4999999999999999E-2</c:v>
                </c:pt>
                <c:pt idx="4">
                  <c:v>1.5808652807191837E-2</c:v>
                </c:pt>
                <c:pt idx="5">
                  <c:v>2.0500000000000001E-2</c:v>
                </c:pt>
                <c:pt idx="6">
                  <c:v>1.4E-2</c:v>
                </c:pt>
                <c:pt idx="7">
                  <c:v>1.9E-2</c:v>
                </c:pt>
                <c:pt idx="8">
                  <c:v>2.2080248985996476E-2</c:v>
                </c:pt>
                <c:pt idx="9">
                  <c:v>1.5529771603882093E-2</c:v>
                </c:pt>
                <c:pt idx="10">
                  <c:v>2.3E-2</c:v>
                </c:pt>
                <c:pt idx="11">
                  <c:v>1.7999999999999999E-2</c:v>
                </c:pt>
                <c:pt idx="12">
                  <c:v>1.4044846627539026E-2</c:v>
                </c:pt>
                <c:pt idx="13">
                  <c:v>2.6349933301596119E-2</c:v>
                </c:pt>
                <c:pt idx="14">
                  <c:v>0.02</c:v>
                </c:pt>
                <c:pt idx="15">
                  <c:v>1.7000000000000001E-2</c:v>
                </c:pt>
                <c:pt idx="16">
                  <c:v>1.7999999999999999E-2</c:v>
                </c:pt>
                <c:pt idx="17">
                  <c:v>1.6E-2</c:v>
                </c:pt>
                <c:pt idx="18">
                  <c:v>1.3100000000000001E-2</c:v>
                </c:pt>
                <c:pt idx="19">
                  <c:v>2.4E-2</c:v>
                </c:pt>
                <c:pt idx="20">
                  <c:v>2.3E-2</c:v>
                </c:pt>
                <c:pt idx="21">
                  <c:v>1.4999999999999999E-2</c:v>
                </c:pt>
                <c:pt idx="22">
                  <c:v>2.8000000000000001E-2</c:v>
                </c:pt>
                <c:pt idx="23">
                  <c:v>2.1000000000000001E-2</c:v>
                </c:pt>
              </c:numCache>
            </c:numRef>
          </c:val>
          <c:smooth val="1"/>
          <c:extLst>
            <c:ext xmlns:c16="http://schemas.microsoft.com/office/drawing/2014/chart" uri="{C3380CC4-5D6E-409C-BE32-E72D297353CC}">
              <c16:uniqueId val="{00000000-0031-45E4-A569-CD6B6F9196A2}"/>
            </c:ext>
          </c:extLst>
        </c:ser>
        <c:ser>
          <c:idx val="1"/>
          <c:order val="1"/>
          <c:tx>
            <c:strRef>
              <c:f>Data!$B$68</c:f>
              <c:strCache>
                <c:ptCount val="1"/>
                <c:pt idx="0">
                  <c:v>Freight Cost Target</c:v>
                </c:pt>
              </c:strCache>
            </c:strRef>
          </c:tx>
          <c:spPr>
            <a:ln w="28575" cap="rnd">
              <a:solidFill>
                <a:schemeClr val="accent2"/>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Data!$C$68:$Z$68</c:f>
              <c:numCache>
                <c:formatCode>0.0%</c:formatCode>
                <c:ptCount val="24"/>
                <c:pt idx="0">
                  <c:v>1.7999999999999999E-2</c:v>
                </c:pt>
                <c:pt idx="1">
                  <c:v>1.7999999999999999E-2</c:v>
                </c:pt>
                <c:pt idx="2">
                  <c:v>1.7000000000000001E-2</c:v>
                </c:pt>
                <c:pt idx="3">
                  <c:v>1.7000000000000001E-2</c:v>
                </c:pt>
                <c:pt idx="4">
                  <c:v>1.7999999999999999E-2</c:v>
                </c:pt>
                <c:pt idx="5">
                  <c:v>1.8700000000000001E-2</c:v>
                </c:pt>
                <c:pt idx="6">
                  <c:v>1.9900000000000001E-2</c:v>
                </c:pt>
                <c:pt idx="7">
                  <c:v>1.7999999999999999E-2</c:v>
                </c:pt>
                <c:pt idx="8">
                  <c:v>1.8159102075376184E-2</c:v>
                </c:pt>
                <c:pt idx="9">
                  <c:v>1.8159102075376184E-2</c:v>
                </c:pt>
                <c:pt idx="10">
                  <c:v>1.8159102075376184E-2</c:v>
                </c:pt>
                <c:pt idx="11">
                  <c:v>1.8159102075376184E-2</c:v>
                </c:pt>
                <c:pt idx="12">
                  <c:v>1.8159102075376184E-2</c:v>
                </c:pt>
                <c:pt idx="13">
                  <c:v>1.8159102075376184E-2</c:v>
                </c:pt>
                <c:pt idx="14">
                  <c:v>1.8159102075376184E-2</c:v>
                </c:pt>
                <c:pt idx="15">
                  <c:v>1.8159102075376184E-2</c:v>
                </c:pt>
                <c:pt idx="16">
                  <c:v>1.8159102075376184E-2</c:v>
                </c:pt>
                <c:pt idx="17">
                  <c:v>1.8159102075376184E-2</c:v>
                </c:pt>
                <c:pt idx="18">
                  <c:v>1.8159102075376184E-2</c:v>
                </c:pt>
                <c:pt idx="19">
                  <c:v>1.9E-2</c:v>
                </c:pt>
                <c:pt idx="20">
                  <c:v>1.9E-2</c:v>
                </c:pt>
                <c:pt idx="21">
                  <c:v>1.9E-2</c:v>
                </c:pt>
                <c:pt idx="22">
                  <c:v>0.02</c:v>
                </c:pt>
                <c:pt idx="23">
                  <c:v>1.9E-2</c:v>
                </c:pt>
              </c:numCache>
            </c:numRef>
          </c:val>
          <c:smooth val="1"/>
          <c:extLst>
            <c:ext xmlns:c16="http://schemas.microsoft.com/office/drawing/2014/chart" uri="{C3380CC4-5D6E-409C-BE32-E72D297353CC}">
              <c16:uniqueId val="{00000001-0031-45E4-A569-CD6B6F9196A2}"/>
            </c:ext>
          </c:extLst>
        </c:ser>
        <c:dLbls>
          <c:showLegendKey val="0"/>
          <c:showVal val="0"/>
          <c:showCatName val="0"/>
          <c:showSerName val="0"/>
          <c:showPercent val="0"/>
          <c:showBubbleSize val="0"/>
        </c:dLbls>
        <c:smooth val="0"/>
        <c:axId val="580745232"/>
        <c:axId val="580743264"/>
      </c:lineChart>
      <c:catAx>
        <c:axId val="58074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80743264"/>
        <c:crosses val="autoZero"/>
        <c:auto val="1"/>
        <c:lblAlgn val="ctr"/>
        <c:lblOffset val="100"/>
        <c:noMultiLvlLbl val="0"/>
      </c:catAx>
      <c:valAx>
        <c:axId val="580743264"/>
        <c:scaling>
          <c:orientation val="minMax"/>
          <c:min val="1.0000000000000002E-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80745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89963080341098"/>
          <c:y val="5.2083333333333336E-2"/>
          <c:w val="0.85822244946654413"/>
          <c:h val="0.59364886632161629"/>
        </c:manualLayout>
      </c:layout>
      <c:lineChart>
        <c:grouping val="standard"/>
        <c:varyColors val="0"/>
        <c:ser>
          <c:idx val="0"/>
          <c:order val="0"/>
          <c:tx>
            <c:strRef>
              <c:f>Availability!$A$2</c:f>
              <c:strCache>
                <c:ptCount val="1"/>
                <c:pt idx="0">
                  <c:v>Sphere PL,HB</c:v>
                </c:pt>
              </c:strCache>
            </c:strRef>
          </c:tx>
          <c:spPr>
            <a:ln w="15875" cap="rnd">
              <a:solidFill>
                <a:schemeClr val="accent1"/>
              </a:solidFill>
              <a:prstDash val="sysDash"/>
              <a:round/>
            </a:ln>
            <a:effectLst/>
          </c:spPr>
          <c:marker>
            <c:symbol val="none"/>
          </c:marker>
          <c:cat>
            <c:numRef>
              <c:f>Availability!$B$1:$IN$1</c:f>
              <c:numCache>
                <c:formatCode>m/d/yyyy</c:formatCode>
                <c:ptCount val="247"/>
                <c:pt idx="0">
                  <c:v>44253</c:v>
                </c:pt>
                <c:pt idx="1">
                  <c:v>44267</c:v>
                </c:pt>
                <c:pt idx="2">
                  <c:v>44281</c:v>
                </c:pt>
                <c:pt idx="3">
                  <c:v>44288</c:v>
                </c:pt>
                <c:pt idx="4">
                  <c:v>44295</c:v>
                </c:pt>
                <c:pt idx="5">
                  <c:v>44302</c:v>
                </c:pt>
                <c:pt idx="6">
                  <c:v>44309</c:v>
                </c:pt>
                <c:pt idx="7">
                  <c:v>44316</c:v>
                </c:pt>
                <c:pt idx="8">
                  <c:v>44323</c:v>
                </c:pt>
                <c:pt idx="9">
                  <c:v>44330</c:v>
                </c:pt>
                <c:pt idx="10">
                  <c:v>44337</c:v>
                </c:pt>
                <c:pt idx="11">
                  <c:v>44344</c:v>
                </c:pt>
                <c:pt idx="12">
                  <c:v>44351</c:v>
                </c:pt>
                <c:pt idx="13">
                  <c:v>44379</c:v>
                </c:pt>
                <c:pt idx="14">
                  <c:v>44386</c:v>
                </c:pt>
                <c:pt idx="15">
                  <c:v>44407</c:v>
                </c:pt>
                <c:pt idx="16">
                  <c:v>44414</c:v>
                </c:pt>
                <c:pt idx="17">
                  <c:v>44420</c:v>
                </c:pt>
                <c:pt idx="18">
                  <c:v>44427</c:v>
                </c:pt>
                <c:pt idx="19">
                  <c:v>44435</c:v>
                </c:pt>
                <c:pt idx="20">
                  <c:v>44441</c:v>
                </c:pt>
                <c:pt idx="21">
                  <c:v>44448</c:v>
                </c:pt>
                <c:pt idx="22">
                  <c:v>44456</c:v>
                </c:pt>
                <c:pt idx="23">
                  <c:v>44462</c:v>
                </c:pt>
                <c:pt idx="24">
                  <c:v>44476</c:v>
                </c:pt>
                <c:pt idx="25">
                  <c:v>44482</c:v>
                </c:pt>
                <c:pt idx="26">
                  <c:v>44490</c:v>
                </c:pt>
                <c:pt idx="27">
                  <c:v>44497</c:v>
                </c:pt>
                <c:pt idx="28">
                  <c:v>44504</c:v>
                </c:pt>
                <c:pt idx="29">
                  <c:v>44512</c:v>
                </c:pt>
                <c:pt idx="30">
                  <c:v>44519</c:v>
                </c:pt>
                <c:pt idx="31">
                  <c:v>44529</c:v>
                </c:pt>
                <c:pt idx="32">
                  <c:v>44533</c:v>
                </c:pt>
                <c:pt idx="33">
                  <c:v>44539</c:v>
                </c:pt>
                <c:pt idx="34">
                  <c:v>44546</c:v>
                </c:pt>
                <c:pt idx="35">
                  <c:v>44553</c:v>
                </c:pt>
                <c:pt idx="36">
                  <c:v>44560</c:v>
                </c:pt>
                <c:pt idx="37">
                  <c:v>44574</c:v>
                </c:pt>
                <c:pt idx="38">
                  <c:v>44581</c:v>
                </c:pt>
                <c:pt idx="39">
                  <c:v>44588</c:v>
                </c:pt>
                <c:pt idx="40">
                  <c:v>44595</c:v>
                </c:pt>
                <c:pt idx="41">
                  <c:v>44602</c:v>
                </c:pt>
                <c:pt idx="42">
                  <c:v>44609</c:v>
                </c:pt>
                <c:pt idx="43">
                  <c:v>44616</c:v>
                </c:pt>
                <c:pt idx="44">
                  <c:v>44622</c:v>
                </c:pt>
                <c:pt idx="45">
                  <c:v>44630</c:v>
                </c:pt>
                <c:pt idx="46">
                  <c:v>44637</c:v>
                </c:pt>
                <c:pt idx="47">
                  <c:v>44643</c:v>
                </c:pt>
                <c:pt idx="48">
                  <c:v>44651</c:v>
                </c:pt>
                <c:pt idx="49">
                  <c:v>44658</c:v>
                </c:pt>
                <c:pt idx="50">
                  <c:v>44665</c:v>
                </c:pt>
                <c:pt idx="51">
                  <c:v>44672</c:v>
                </c:pt>
                <c:pt idx="52">
                  <c:v>44679</c:v>
                </c:pt>
                <c:pt idx="53">
                  <c:v>44686</c:v>
                </c:pt>
                <c:pt idx="54">
                  <c:v>44693</c:v>
                </c:pt>
                <c:pt idx="55">
                  <c:v>44700</c:v>
                </c:pt>
                <c:pt idx="56">
                  <c:v>44707</c:v>
                </c:pt>
                <c:pt idx="57">
                  <c:v>44714</c:v>
                </c:pt>
                <c:pt idx="58">
                  <c:v>44728</c:v>
                </c:pt>
                <c:pt idx="59">
                  <c:v>44735</c:v>
                </c:pt>
                <c:pt idx="60">
                  <c:v>44742</c:v>
                </c:pt>
                <c:pt idx="61">
                  <c:v>44749</c:v>
                </c:pt>
                <c:pt idx="62">
                  <c:v>44763</c:v>
                </c:pt>
                <c:pt idx="63">
                  <c:v>44770</c:v>
                </c:pt>
                <c:pt idx="64">
                  <c:v>44777</c:v>
                </c:pt>
                <c:pt idx="65">
                  <c:v>44784</c:v>
                </c:pt>
                <c:pt idx="66">
                  <c:v>44791</c:v>
                </c:pt>
                <c:pt idx="67">
                  <c:v>44798</c:v>
                </c:pt>
                <c:pt idx="68">
                  <c:v>44805</c:v>
                </c:pt>
                <c:pt idx="69">
                  <c:v>44812</c:v>
                </c:pt>
                <c:pt idx="70">
                  <c:v>44819</c:v>
                </c:pt>
                <c:pt idx="71">
                  <c:v>44826</c:v>
                </c:pt>
                <c:pt idx="72">
                  <c:v>44840</c:v>
                </c:pt>
                <c:pt idx="73">
                  <c:v>44847</c:v>
                </c:pt>
                <c:pt idx="74">
                  <c:v>44854</c:v>
                </c:pt>
                <c:pt idx="75">
                  <c:v>44861</c:v>
                </c:pt>
                <c:pt idx="76">
                  <c:v>44868</c:v>
                </c:pt>
                <c:pt idx="77">
                  <c:v>44875</c:v>
                </c:pt>
                <c:pt idx="78">
                  <c:v>44882</c:v>
                </c:pt>
                <c:pt idx="79">
                  <c:v>44889</c:v>
                </c:pt>
                <c:pt idx="80">
                  <c:v>44896</c:v>
                </c:pt>
                <c:pt idx="81">
                  <c:v>44903</c:v>
                </c:pt>
                <c:pt idx="82">
                  <c:v>44910</c:v>
                </c:pt>
                <c:pt idx="83">
                  <c:v>44917</c:v>
                </c:pt>
                <c:pt idx="84">
                  <c:v>44924</c:v>
                </c:pt>
                <c:pt idx="85">
                  <c:v>44938</c:v>
                </c:pt>
                <c:pt idx="86">
                  <c:v>44945</c:v>
                </c:pt>
                <c:pt idx="87">
                  <c:v>44952</c:v>
                </c:pt>
                <c:pt idx="88">
                  <c:v>44959</c:v>
                </c:pt>
                <c:pt idx="89">
                  <c:v>44966</c:v>
                </c:pt>
                <c:pt idx="90">
                  <c:v>44973</c:v>
                </c:pt>
                <c:pt idx="91">
                  <c:v>44978</c:v>
                </c:pt>
                <c:pt idx="92">
                  <c:v>44987</c:v>
                </c:pt>
                <c:pt idx="93">
                  <c:v>44994</c:v>
                </c:pt>
                <c:pt idx="94">
                  <c:v>45001</c:v>
                </c:pt>
                <c:pt idx="95">
                  <c:v>45008</c:v>
                </c:pt>
                <c:pt idx="96">
                  <c:v>45015</c:v>
                </c:pt>
                <c:pt idx="97">
                  <c:v>45022</c:v>
                </c:pt>
                <c:pt idx="98">
                  <c:v>45029</c:v>
                </c:pt>
                <c:pt idx="99">
                  <c:v>45036</c:v>
                </c:pt>
                <c:pt idx="100">
                  <c:v>45043</c:v>
                </c:pt>
                <c:pt idx="101">
                  <c:v>45050</c:v>
                </c:pt>
                <c:pt idx="102">
                  <c:v>45057</c:v>
                </c:pt>
                <c:pt idx="103">
                  <c:v>45064</c:v>
                </c:pt>
                <c:pt idx="104">
                  <c:v>45071</c:v>
                </c:pt>
                <c:pt idx="105">
                  <c:v>45078</c:v>
                </c:pt>
                <c:pt idx="106">
                  <c:v>45085</c:v>
                </c:pt>
                <c:pt idx="107">
                  <c:v>45092</c:v>
                </c:pt>
                <c:pt idx="108">
                  <c:v>45099</c:v>
                </c:pt>
                <c:pt idx="109">
                  <c:v>45106</c:v>
                </c:pt>
                <c:pt idx="110">
                  <c:v>45113</c:v>
                </c:pt>
                <c:pt idx="111">
                  <c:v>45120</c:v>
                </c:pt>
                <c:pt idx="112">
                  <c:v>45127</c:v>
                </c:pt>
                <c:pt idx="113">
                  <c:v>45134</c:v>
                </c:pt>
                <c:pt idx="114">
                  <c:v>45141</c:v>
                </c:pt>
                <c:pt idx="115">
                  <c:v>45148</c:v>
                </c:pt>
                <c:pt idx="116">
                  <c:v>45155</c:v>
                </c:pt>
                <c:pt idx="117">
                  <c:v>45162</c:v>
                </c:pt>
                <c:pt idx="118">
                  <c:v>45169</c:v>
                </c:pt>
                <c:pt idx="119">
                  <c:v>45176</c:v>
                </c:pt>
                <c:pt idx="120">
                  <c:v>45183</c:v>
                </c:pt>
                <c:pt idx="121">
                  <c:v>45190</c:v>
                </c:pt>
                <c:pt idx="122">
                  <c:v>45197</c:v>
                </c:pt>
                <c:pt idx="123">
                  <c:v>45204</c:v>
                </c:pt>
                <c:pt idx="124">
                  <c:v>45211</c:v>
                </c:pt>
                <c:pt idx="125">
                  <c:v>45217</c:v>
                </c:pt>
                <c:pt idx="126">
                  <c:v>45225</c:v>
                </c:pt>
                <c:pt idx="127">
                  <c:v>45232</c:v>
                </c:pt>
                <c:pt idx="128">
                  <c:v>45239</c:v>
                </c:pt>
                <c:pt idx="129">
                  <c:v>45246</c:v>
                </c:pt>
                <c:pt idx="130">
                  <c:v>45253</c:v>
                </c:pt>
                <c:pt idx="131">
                  <c:v>45260</c:v>
                </c:pt>
                <c:pt idx="132">
                  <c:v>45267</c:v>
                </c:pt>
                <c:pt idx="133">
                  <c:v>45274</c:v>
                </c:pt>
                <c:pt idx="134">
                  <c:v>45281</c:v>
                </c:pt>
                <c:pt idx="135">
                  <c:v>45288</c:v>
                </c:pt>
                <c:pt idx="136">
                  <c:v>45302</c:v>
                </c:pt>
                <c:pt idx="137">
                  <c:v>45309</c:v>
                </c:pt>
                <c:pt idx="138">
                  <c:v>45316</c:v>
                </c:pt>
                <c:pt idx="139">
                  <c:v>45323</c:v>
                </c:pt>
                <c:pt idx="140">
                  <c:v>45330</c:v>
                </c:pt>
                <c:pt idx="141">
                  <c:v>45337</c:v>
                </c:pt>
                <c:pt idx="142">
                  <c:v>45344</c:v>
                </c:pt>
                <c:pt idx="143">
                  <c:v>45351</c:v>
                </c:pt>
                <c:pt idx="144">
                  <c:v>45358</c:v>
                </c:pt>
                <c:pt idx="145">
                  <c:v>45365</c:v>
                </c:pt>
                <c:pt idx="146">
                  <c:v>45372</c:v>
                </c:pt>
                <c:pt idx="147">
                  <c:v>45379</c:v>
                </c:pt>
                <c:pt idx="148">
                  <c:v>45386</c:v>
                </c:pt>
                <c:pt idx="149">
                  <c:v>45393</c:v>
                </c:pt>
                <c:pt idx="150">
                  <c:v>45400</c:v>
                </c:pt>
                <c:pt idx="151">
                  <c:v>45407</c:v>
                </c:pt>
                <c:pt idx="152">
                  <c:v>45414</c:v>
                </c:pt>
                <c:pt idx="153">
                  <c:v>45413</c:v>
                </c:pt>
                <c:pt idx="154">
                  <c:v>45428</c:v>
                </c:pt>
                <c:pt idx="155">
                  <c:v>45435</c:v>
                </c:pt>
                <c:pt idx="156">
                  <c:v>45442</c:v>
                </c:pt>
                <c:pt idx="157">
                  <c:v>45456</c:v>
                </c:pt>
                <c:pt idx="158">
                  <c:v>45463</c:v>
                </c:pt>
                <c:pt idx="159">
                  <c:v>45470</c:v>
                </c:pt>
                <c:pt idx="160">
                  <c:v>45477</c:v>
                </c:pt>
                <c:pt idx="161">
                  <c:v>45484</c:v>
                </c:pt>
                <c:pt idx="162">
                  <c:v>45491</c:v>
                </c:pt>
                <c:pt idx="163">
                  <c:v>45498</c:v>
                </c:pt>
                <c:pt idx="164">
                  <c:v>45505</c:v>
                </c:pt>
                <c:pt idx="165">
                  <c:v>45512</c:v>
                </c:pt>
                <c:pt idx="166">
                  <c:v>45519</c:v>
                </c:pt>
                <c:pt idx="167">
                  <c:v>45526</c:v>
                </c:pt>
                <c:pt idx="168">
                  <c:v>45533</c:v>
                </c:pt>
                <c:pt idx="169">
                  <c:v>45540</c:v>
                </c:pt>
                <c:pt idx="170">
                  <c:v>45547</c:v>
                </c:pt>
                <c:pt idx="171">
                  <c:v>45554</c:v>
                </c:pt>
                <c:pt idx="172">
                  <c:v>45561</c:v>
                </c:pt>
                <c:pt idx="173">
                  <c:v>45568</c:v>
                </c:pt>
                <c:pt idx="174">
                  <c:v>45575</c:v>
                </c:pt>
                <c:pt idx="175">
                  <c:v>45582</c:v>
                </c:pt>
                <c:pt idx="176">
                  <c:v>45589</c:v>
                </c:pt>
                <c:pt idx="177">
                  <c:v>45596</c:v>
                </c:pt>
                <c:pt idx="178">
                  <c:v>45603</c:v>
                </c:pt>
                <c:pt idx="179">
                  <c:v>45610</c:v>
                </c:pt>
                <c:pt idx="180">
                  <c:v>45617</c:v>
                </c:pt>
                <c:pt idx="181">
                  <c:v>45624</c:v>
                </c:pt>
                <c:pt idx="182">
                  <c:v>45631</c:v>
                </c:pt>
                <c:pt idx="183">
                  <c:v>45638</c:v>
                </c:pt>
                <c:pt idx="184">
                  <c:v>45645</c:v>
                </c:pt>
                <c:pt idx="185">
                  <c:v>45666</c:v>
                </c:pt>
                <c:pt idx="186">
                  <c:v>45673</c:v>
                </c:pt>
                <c:pt idx="187">
                  <c:v>45680</c:v>
                </c:pt>
                <c:pt idx="188">
                  <c:v>45687</c:v>
                </c:pt>
                <c:pt idx="189">
                  <c:v>45701</c:v>
                </c:pt>
                <c:pt idx="190">
                  <c:v>45708</c:v>
                </c:pt>
                <c:pt idx="191">
                  <c:v>45715</c:v>
                </c:pt>
                <c:pt idx="192">
                  <c:v>45722</c:v>
                </c:pt>
                <c:pt idx="193">
                  <c:v>45729</c:v>
                </c:pt>
                <c:pt idx="194">
                  <c:v>45736</c:v>
                </c:pt>
                <c:pt idx="195">
                  <c:v>45743</c:v>
                </c:pt>
                <c:pt idx="196">
                  <c:v>45750</c:v>
                </c:pt>
                <c:pt idx="197">
                  <c:v>45757</c:v>
                </c:pt>
                <c:pt idx="198">
                  <c:v>45764</c:v>
                </c:pt>
                <c:pt idx="199">
                  <c:v>45771</c:v>
                </c:pt>
                <c:pt idx="200">
                  <c:v>45792</c:v>
                </c:pt>
                <c:pt idx="201">
                  <c:v>45799</c:v>
                </c:pt>
                <c:pt idx="202">
                  <c:v>45806</c:v>
                </c:pt>
                <c:pt idx="203">
                  <c:v>45813</c:v>
                </c:pt>
                <c:pt idx="204">
                  <c:v>45841</c:v>
                </c:pt>
                <c:pt idx="205">
                  <c:v>45848</c:v>
                </c:pt>
                <c:pt idx="206">
                  <c:v>45855</c:v>
                </c:pt>
                <c:pt idx="207">
                  <c:v>45862</c:v>
                </c:pt>
                <c:pt idx="208">
                  <c:v>45869</c:v>
                </c:pt>
                <c:pt idx="209">
                  <c:v>45876</c:v>
                </c:pt>
                <c:pt idx="210">
                  <c:v>45883</c:v>
                </c:pt>
                <c:pt idx="211">
                  <c:v>45890</c:v>
                </c:pt>
                <c:pt idx="212">
                  <c:v>45897</c:v>
                </c:pt>
                <c:pt idx="213">
                  <c:v>45904</c:v>
                </c:pt>
                <c:pt idx="214">
                  <c:v>45925</c:v>
                </c:pt>
                <c:pt idx="215">
                  <c:v>45932</c:v>
                </c:pt>
                <c:pt idx="216">
                  <c:v>45939</c:v>
                </c:pt>
                <c:pt idx="217">
                  <c:v>45946</c:v>
                </c:pt>
                <c:pt idx="218">
                  <c:v>45953</c:v>
                </c:pt>
                <c:pt idx="219">
                  <c:v>45960</c:v>
                </c:pt>
                <c:pt idx="220">
                  <c:v>45967</c:v>
                </c:pt>
                <c:pt idx="221">
                  <c:v>45974</c:v>
                </c:pt>
                <c:pt idx="222">
                  <c:v>45981</c:v>
                </c:pt>
                <c:pt idx="223">
                  <c:v>45988</c:v>
                </c:pt>
                <c:pt idx="224">
                  <c:v>45995</c:v>
                </c:pt>
                <c:pt idx="225">
                  <c:v>46002</c:v>
                </c:pt>
                <c:pt idx="226">
                  <c:v>46009</c:v>
                </c:pt>
                <c:pt idx="227">
                  <c:v>46016</c:v>
                </c:pt>
                <c:pt idx="228">
                  <c:v>46038</c:v>
                </c:pt>
                <c:pt idx="229">
                  <c:v>46044</c:v>
                </c:pt>
                <c:pt idx="230">
                  <c:v>46051</c:v>
                </c:pt>
                <c:pt idx="231">
                  <c:v>46058</c:v>
                </c:pt>
                <c:pt idx="232">
                  <c:v>46065</c:v>
                </c:pt>
                <c:pt idx="233">
                  <c:v>46072</c:v>
                </c:pt>
                <c:pt idx="234">
                  <c:v>46079</c:v>
                </c:pt>
                <c:pt idx="235">
                  <c:v>46085</c:v>
                </c:pt>
                <c:pt idx="236">
                  <c:v>46100</c:v>
                </c:pt>
                <c:pt idx="237">
                  <c:v>46108</c:v>
                </c:pt>
                <c:pt idx="238">
                  <c:v>46114</c:v>
                </c:pt>
                <c:pt idx="239">
                  <c:v>46128</c:v>
                </c:pt>
                <c:pt idx="240">
                  <c:v>46135</c:v>
                </c:pt>
                <c:pt idx="241">
                  <c:v>46149</c:v>
                </c:pt>
                <c:pt idx="242">
                  <c:v>46192</c:v>
                </c:pt>
                <c:pt idx="243">
                  <c:v>46199</c:v>
                </c:pt>
                <c:pt idx="244">
                  <c:v>46205</c:v>
                </c:pt>
                <c:pt idx="245">
                  <c:v>46212</c:v>
                </c:pt>
              </c:numCache>
            </c:numRef>
          </c:cat>
          <c:val>
            <c:numRef>
              <c:f>Availability!$B$2:$IN$2</c:f>
              <c:numCache>
                <c:formatCode>0%</c:formatCode>
                <c:ptCount val="247"/>
                <c:pt idx="0">
                  <c:v>0.87333333333333341</c:v>
                </c:pt>
                <c:pt idx="1">
                  <c:v>0.94416666666666671</c:v>
                </c:pt>
                <c:pt idx="2">
                  <c:v>0.97883333333333322</c:v>
                </c:pt>
                <c:pt idx="3">
                  <c:v>0.97350000000000003</c:v>
                </c:pt>
                <c:pt idx="4">
                  <c:v>0.98099999999999998</c:v>
                </c:pt>
                <c:pt idx="5">
                  <c:v>0.98133333333333328</c:v>
                </c:pt>
                <c:pt idx="6">
                  <c:v>0.97866666666666668</c:v>
                </c:pt>
                <c:pt idx="7">
                  <c:v>0.97083333333333321</c:v>
                </c:pt>
                <c:pt idx="8">
                  <c:v>0.98066666666666669</c:v>
                </c:pt>
                <c:pt idx="9">
                  <c:v>0.98649999999999993</c:v>
                </c:pt>
                <c:pt idx="10">
                  <c:v>0.98399999999999999</c:v>
                </c:pt>
                <c:pt idx="11">
                  <c:v>0.98399999999999999</c:v>
                </c:pt>
                <c:pt idx="12">
                  <c:v>0.98666666666666669</c:v>
                </c:pt>
                <c:pt idx="13">
                  <c:v>0.95233333333333337</c:v>
                </c:pt>
                <c:pt idx="14">
                  <c:v>0.97</c:v>
                </c:pt>
                <c:pt idx="15">
                  <c:v>0.97</c:v>
                </c:pt>
                <c:pt idx="16">
                  <c:v>0.97</c:v>
                </c:pt>
                <c:pt idx="17">
                  <c:v>0.94064285714285734</c:v>
                </c:pt>
                <c:pt idx="18">
                  <c:v>0.9523571428571429</c:v>
                </c:pt>
                <c:pt idx="19">
                  <c:v>0.96478571428571436</c:v>
                </c:pt>
                <c:pt idx="20">
                  <c:v>0.97821115723820118</c:v>
                </c:pt>
                <c:pt idx="21">
                  <c:v>0.96798650286032095</c:v>
                </c:pt>
                <c:pt idx="22">
                  <c:v>0.98699999999999999</c:v>
                </c:pt>
                <c:pt idx="23">
                  <c:v>0.99</c:v>
                </c:pt>
                <c:pt idx="24">
                  <c:v>0.97299999999999998</c:v>
                </c:pt>
                <c:pt idx="25">
                  <c:v>0.97799999999999998</c:v>
                </c:pt>
                <c:pt idx="26">
                  <c:v>0.97836261520737333</c:v>
                </c:pt>
                <c:pt idx="27">
                  <c:v>0.96099999999999997</c:v>
                </c:pt>
                <c:pt idx="28">
                  <c:v>0.96099999999999997</c:v>
                </c:pt>
                <c:pt idx="29">
                  <c:v>0.95799999999999996</c:v>
                </c:pt>
                <c:pt idx="30">
                  <c:v>0.95599999999999996</c:v>
                </c:pt>
                <c:pt idx="31">
                  <c:v>0.97599999999999998</c:v>
                </c:pt>
                <c:pt idx="32">
                  <c:v>0.98099999999999998</c:v>
                </c:pt>
                <c:pt idx="33">
                  <c:v>0.98199999999999998</c:v>
                </c:pt>
                <c:pt idx="34">
                  <c:v>0.98</c:v>
                </c:pt>
                <c:pt idx="35">
                  <c:v>0.97199999999999998</c:v>
                </c:pt>
                <c:pt idx="36">
                  <c:v>0.98099999999999998</c:v>
                </c:pt>
                <c:pt idx="37">
                  <c:v>0.99199999999999999</c:v>
                </c:pt>
                <c:pt idx="38">
                  <c:v>0.98899999999999999</c:v>
                </c:pt>
                <c:pt idx="39">
                  <c:v>0.997</c:v>
                </c:pt>
                <c:pt idx="40">
                  <c:v>0.99</c:v>
                </c:pt>
                <c:pt idx="41">
                  <c:v>0.99</c:v>
                </c:pt>
                <c:pt idx="42">
                  <c:v>0.98299999999999998</c:v>
                </c:pt>
                <c:pt idx="43">
                  <c:v>0.97985840748980357</c:v>
                </c:pt>
                <c:pt idx="44">
                  <c:v>0.98617561179087876</c:v>
                </c:pt>
                <c:pt idx="45">
                  <c:v>0.97</c:v>
                </c:pt>
                <c:pt idx="46">
                  <c:v>0.96722399888765298</c:v>
                </c:pt>
                <c:pt idx="47">
                  <c:v>0.97142426770485713</c:v>
                </c:pt>
                <c:pt idx="48">
                  <c:v>0.96211647200593264</c:v>
                </c:pt>
                <c:pt idx="49" formatCode="0.0%">
                  <c:v>0.9516998053392659</c:v>
                </c:pt>
                <c:pt idx="50" formatCode="0.0%">
                  <c:v>0.96003313867259932</c:v>
                </c:pt>
                <c:pt idx="51" formatCode="0.0%">
                  <c:v>0.95468344456803866</c:v>
                </c:pt>
                <c:pt idx="52" formatCode="0.0%">
                  <c:v>0.96899999999999997</c:v>
                </c:pt>
                <c:pt idx="53" formatCode="0.0%">
                  <c:v>0.96699999999999997</c:v>
                </c:pt>
                <c:pt idx="54" formatCode="0.0%">
                  <c:v>0.96599999999999997</c:v>
                </c:pt>
                <c:pt idx="55" formatCode="0.0%">
                  <c:v>0.97199999999999998</c:v>
                </c:pt>
                <c:pt idx="56" formatCode="0.0%">
                  <c:v>0.97299999999999998</c:v>
                </c:pt>
                <c:pt idx="57" formatCode="0.0%">
                  <c:v>0.97699999999999998</c:v>
                </c:pt>
                <c:pt idx="58" formatCode="0.0%">
                  <c:v>0.98599999999999999</c:v>
                </c:pt>
                <c:pt idx="59" formatCode="0.0%">
                  <c:v>0.98099999999999998</c:v>
                </c:pt>
                <c:pt idx="60" formatCode="0.0%">
                  <c:v>0.97699999999999998</c:v>
                </c:pt>
                <c:pt idx="61" formatCode="0.0%">
                  <c:v>0.97899999999999998</c:v>
                </c:pt>
                <c:pt idx="62" formatCode="0.0%">
                  <c:v>0.97199999999999998</c:v>
                </c:pt>
                <c:pt idx="63" formatCode="0.0%">
                  <c:v>0.97399999999999998</c:v>
                </c:pt>
                <c:pt idx="64" formatCode="0.0%">
                  <c:v>0.97299999999999998</c:v>
                </c:pt>
                <c:pt idx="65" formatCode="0.0%">
                  <c:v>0.96499999999999997</c:v>
                </c:pt>
                <c:pt idx="66" formatCode="0.0%">
                  <c:v>0.97</c:v>
                </c:pt>
                <c:pt idx="67" formatCode="0.0%">
                  <c:v>0.98099999999999998</c:v>
                </c:pt>
                <c:pt idx="68" formatCode="0.0%">
                  <c:v>0.97599999999999998</c:v>
                </c:pt>
                <c:pt idx="69" formatCode="0.0%">
                  <c:v>0.96699999999999997</c:v>
                </c:pt>
                <c:pt idx="70" formatCode="0.0%">
                  <c:v>0.96</c:v>
                </c:pt>
                <c:pt idx="71" formatCode="0.0%">
                  <c:v>0.96699999999999997</c:v>
                </c:pt>
                <c:pt idx="72" formatCode="0.0%">
                  <c:v>0.95899999999999996</c:v>
                </c:pt>
                <c:pt idx="73" formatCode="0.0%">
                  <c:v>0.96</c:v>
                </c:pt>
                <c:pt idx="74" formatCode="0.0%">
                  <c:v>0.96799999999999997</c:v>
                </c:pt>
                <c:pt idx="75" formatCode="0.0%">
                  <c:v>0.96599999999999997</c:v>
                </c:pt>
                <c:pt idx="76" formatCode="0.0%">
                  <c:v>0.98</c:v>
                </c:pt>
                <c:pt idx="77" formatCode="0.0%">
                  <c:v>0.97199999999999998</c:v>
                </c:pt>
                <c:pt idx="78" formatCode="0.0%">
                  <c:v>0.96599999999999997</c:v>
                </c:pt>
                <c:pt idx="79" formatCode="0.0%">
                  <c:v>0.97399999999999998</c:v>
                </c:pt>
                <c:pt idx="80" formatCode="0.0%">
                  <c:v>0.97499999999999998</c:v>
                </c:pt>
                <c:pt idx="81" formatCode="0.0%">
                  <c:v>0.97799999999999998</c:v>
                </c:pt>
                <c:pt idx="82" formatCode="0.0%">
                  <c:v>0.97599999999999998</c:v>
                </c:pt>
                <c:pt idx="83" formatCode="0.0%">
                  <c:v>0.97199999999999998</c:v>
                </c:pt>
                <c:pt idx="84" formatCode="0.0%">
                  <c:v>0.97199999999999998</c:v>
                </c:pt>
                <c:pt idx="85" formatCode="0.0%">
                  <c:v>0.98599999999999999</c:v>
                </c:pt>
                <c:pt idx="86" formatCode="0.0%">
                  <c:v>0.97899999999999998</c:v>
                </c:pt>
                <c:pt idx="87" formatCode="0.0%">
                  <c:v>0.98099999999999998</c:v>
                </c:pt>
                <c:pt idx="88" formatCode="0.0%">
                  <c:v>0.99299999999999999</c:v>
                </c:pt>
                <c:pt idx="89" formatCode="0.0%">
                  <c:v>0.99199999999999999</c:v>
                </c:pt>
                <c:pt idx="90" formatCode="0.0%">
                  <c:v>0.99199999999999999</c:v>
                </c:pt>
                <c:pt idx="91" formatCode="0.0%">
                  <c:v>0.99</c:v>
                </c:pt>
                <c:pt idx="92" formatCode="0.0%">
                  <c:v>0.99199999999999999</c:v>
                </c:pt>
                <c:pt idx="93" formatCode="0.0%">
                  <c:v>0.995</c:v>
                </c:pt>
                <c:pt idx="94" formatCode="0.0%">
                  <c:v>0.99299999999999999</c:v>
                </c:pt>
                <c:pt idx="95" formatCode="0.0%">
                  <c:v>0.98899999999999999</c:v>
                </c:pt>
                <c:pt idx="96" formatCode="0.0%">
                  <c:v>0.98899999999999999</c:v>
                </c:pt>
                <c:pt idx="97" formatCode="0.0%">
                  <c:v>0.98799999999999999</c:v>
                </c:pt>
                <c:pt idx="98" formatCode="0.0%">
                  <c:v>0.99</c:v>
                </c:pt>
                <c:pt idx="99" formatCode="0.0%">
                  <c:v>0.98399999999999999</c:v>
                </c:pt>
                <c:pt idx="100" formatCode="0.0%">
                  <c:v>0.96399999999999997</c:v>
                </c:pt>
                <c:pt idx="101" formatCode="0.0%">
                  <c:v>0.99</c:v>
                </c:pt>
                <c:pt idx="102" formatCode="0.0%">
                  <c:v>0.99099999999999999</c:v>
                </c:pt>
                <c:pt idx="103" formatCode="0.0%">
                  <c:v>0.97799999999999998</c:v>
                </c:pt>
                <c:pt idx="104" formatCode="0.0%">
                  <c:v>0.97499999999999998</c:v>
                </c:pt>
                <c:pt idx="105" formatCode="0.0%">
                  <c:v>0.98399999999999999</c:v>
                </c:pt>
                <c:pt idx="106" formatCode="0.0%">
                  <c:v>0.98</c:v>
                </c:pt>
                <c:pt idx="107" formatCode="0.0%">
                  <c:v>0.98</c:v>
                </c:pt>
                <c:pt idx="108" formatCode="0.0%">
                  <c:v>0.97599999999999998</c:v>
                </c:pt>
                <c:pt idx="109" formatCode="0.0%">
                  <c:v>0.97299999999999998</c:v>
                </c:pt>
                <c:pt idx="110" formatCode="0.0%">
                  <c:v>0.96399999999999997</c:v>
                </c:pt>
                <c:pt idx="111" formatCode="0.0%">
                  <c:v>0.97</c:v>
                </c:pt>
                <c:pt idx="112" formatCode="0.0%">
                  <c:v>0.97</c:v>
                </c:pt>
                <c:pt idx="113" formatCode="0.0%">
                  <c:v>0.96799999999999997</c:v>
                </c:pt>
                <c:pt idx="114" formatCode="0.0%">
                  <c:v>0.95399999999999996</c:v>
                </c:pt>
                <c:pt idx="115" formatCode="0.0%">
                  <c:v>0.94</c:v>
                </c:pt>
                <c:pt idx="116" formatCode="0.0%">
                  <c:v>0.94299999999999995</c:v>
                </c:pt>
                <c:pt idx="117" formatCode="0.0%">
                  <c:v>0.93899999999999995</c:v>
                </c:pt>
                <c:pt idx="118" formatCode="0.0%">
                  <c:v>0.96099999999999997</c:v>
                </c:pt>
                <c:pt idx="119" formatCode="0.0%">
                  <c:v>0.97</c:v>
                </c:pt>
                <c:pt idx="120" formatCode="0.0%">
                  <c:v>0.96899999999999997</c:v>
                </c:pt>
                <c:pt idx="121" formatCode="0.0%">
                  <c:v>0.96699999999999997</c:v>
                </c:pt>
                <c:pt idx="122" formatCode="0.0%">
                  <c:v>0.97</c:v>
                </c:pt>
                <c:pt idx="123" formatCode="0.0%">
                  <c:v>0.96499999999999997</c:v>
                </c:pt>
                <c:pt idx="124" formatCode="0.0%">
                  <c:v>0.97899999999999998</c:v>
                </c:pt>
                <c:pt idx="125" formatCode="0.0%">
                  <c:v>0.97499999999999998</c:v>
                </c:pt>
                <c:pt idx="126" formatCode="0.0%">
                  <c:v>0.97399999999999998</c:v>
                </c:pt>
                <c:pt idx="127" formatCode="0.0%">
                  <c:v>0.97</c:v>
                </c:pt>
                <c:pt idx="128" formatCode="0.0%">
                  <c:v>0.97</c:v>
                </c:pt>
                <c:pt idx="129" formatCode="0.0%">
                  <c:v>0.97299999999999998</c:v>
                </c:pt>
                <c:pt idx="130" formatCode="0.0%">
                  <c:v>0.95799999999999996</c:v>
                </c:pt>
                <c:pt idx="131" formatCode="0.0%">
                  <c:v>0.95399999999999996</c:v>
                </c:pt>
                <c:pt idx="132" formatCode="0.0%">
                  <c:v>0.95499999999999996</c:v>
                </c:pt>
                <c:pt idx="133" formatCode="0.0%">
                  <c:v>0.96499999999999997</c:v>
                </c:pt>
                <c:pt idx="134" formatCode="0.0%">
                  <c:v>0.96899999999999997</c:v>
                </c:pt>
                <c:pt idx="135" formatCode="0.0%">
                  <c:v>0.97399999999999998</c:v>
                </c:pt>
                <c:pt idx="136" formatCode="0.0%">
                  <c:v>0.97499999999999998</c:v>
                </c:pt>
                <c:pt idx="137" formatCode="0.0%">
                  <c:v>0.97799999999999998</c:v>
                </c:pt>
                <c:pt idx="138" formatCode="0.0%">
                  <c:v>0.97099999999999997</c:v>
                </c:pt>
                <c:pt idx="139" formatCode="0.0%">
                  <c:v>0.97199999999999998</c:v>
                </c:pt>
                <c:pt idx="140" formatCode="0.0%">
                  <c:v>0.96899999999999997</c:v>
                </c:pt>
                <c:pt idx="141" formatCode="0.0%">
                  <c:v>0.97199999999999998</c:v>
                </c:pt>
                <c:pt idx="142" formatCode="0.0%">
                  <c:v>0.98899999999999999</c:v>
                </c:pt>
                <c:pt idx="143" formatCode="0.0%">
                  <c:v>0.98699999999999999</c:v>
                </c:pt>
                <c:pt idx="144" formatCode="0.0%">
                  <c:v>0.97899999999999998</c:v>
                </c:pt>
                <c:pt idx="145" formatCode="0.0%">
                  <c:v>0.98299999999999998</c:v>
                </c:pt>
                <c:pt idx="146" formatCode="0.0%">
                  <c:v>0.98699999999999999</c:v>
                </c:pt>
                <c:pt idx="147" formatCode="0.0%">
                  <c:v>0.99099999999999999</c:v>
                </c:pt>
                <c:pt idx="148" formatCode="0.0%">
                  <c:v>0.97499999999999998</c:v>
                </c:pt>
                <c:pt idx="149" formatCode="0.0%">
                  <c:v>0.97899999999999998</c:v>
                </c:pt>
                <c:pt idx="150" formatCode="0.0%">
                  <c:v>0.98099999999999998</c:v>
                </c:pt>
                <c:pt idx="151" formatCode="0.0%">
                  <c:v>0.98899999999999999</c:v>
                </c:pt>
                <c:pt idx="152" formatCode="0.0%">
                  <c:v>0.98599999999999999</c:v>
                </c:pt>
                <c:pt idx="153" formatCode="0.0%">
                  <c:v>0.98599999999999999</c:v>
                </c:pt>
                <c:pt idx="154" formatCode="0.0%">
                  <c:v>0.98399999999999999</c:v>
                </c:pt>
                <c:pt idx="155" formatCode="0.0%">
                  <c:v>0.98899999999999999</c:v>
                </c:pt>
                <c:pt idx="156" formatCode="0.0%">
                  <c:v>0.98599999999999999</c:v>
                </c:pt>
                <c:pt idx="157" formatCode="0.0%">
                  <c:v>0.996</c:v>
                </c:pt>
                <c:pt idx="158" formatCode="0.0%">
                  <c:v>0.996</c:v>
                </c:pt>
                <c:pt idx="159" formatCode="0.0%">
                  <c:v>0.997</c:v>
                </c:pt>
                <c:pt idx="160" formatCode="0.0%">
                  <c:v>0.997</c:v>
                </c:pt>
                <c:pt idx="161" formatCode="0.0%">
                  <c:v>0.99199999999999999</c:v>
                </c:pt>
                <c:pt idx="162" formatCode="0.0%">
                  <c:v>0.99</c:v>
                </c:pt>
                <c:pt idx="163" formatCode="0.0%">
                  <c:v>0.99299999999999999</c:v>
                </c:pt>
                <c:pt idx="164" formatCode="0.0%">
                  <c:v>0.996</c:v>
                </c:pt>
                <c:pt idx="165" formatCode="0.0%">
                  <c:v>0.996</c:v>
                </c:pt>
                <c:pt idx="166" formatCode="0.0%">
                  <c:v>0.998</c:v>
                </c:pt>
                <c:pt idx="167" formatCode="0.0%">
                  <c:v>0.99399999999999999</c:v>
                </c:pt>
                <c:pt idx="168" formatCode="0.0%">
                  <c:v>0.996</c:v>
                </c:pt>
                <c:pt idx="169" formatCode="0.0%">
                  <c:v>0.996</c:v>
                </c:pt>
                <c:pt idx="170" formatCode="0.0%">
                  <c:v>0.995</c:v>
                </c:pt>
                <c:pt idx="171" formatCode="0.0%">
                  <c:v>0.99299999999999999</c:v>
                </c:pt>
                <c:pt idx="172" formatCode="0.0%">
                  <c:v>0.99199999999999999</c:v>
                </c:pt>
                <c:pt idx="173" formatCode="0.0%">
                  <c:v>0.99</c:v>
                </c:pt>
                <c:pt idx="174" formatCode="0.0%">
                  <c:v>0.98899999999999999</c:v>
                </c:pt>
                <c:pt idx="175" formatCode="0.0%">
                  <c:v>0.98199999999999998</c:v>
                </c:pt>
                <c:pt idx="176" formatCode="0.0%">
                  <c:v>0.97599999999999998</c:v>
                </c:pt>
                <c:pt idx="177" formatCode="0.0%">
                  <c:v>0.97199999999999998</c:v>
                </c:pt>
                <c:pt idx="178" formatCode="0.0%">
                  <c:v>0.97899999999999998</c:v>
                </c:pt>
                <c:pt idx="179" formatCode="0.0%">
                  <c:v>0.97499999999999998</c:v>
                </c:pt>
                <c:pt idx="180" formatCode="0.0%">
                  <c:v>0.98199999999999998</c:v>
                </c:pt>
                <c:pt idx="181" formatCode="0.0%">
                  <c:v>0.97899999999999998</c:v>
                </c:pt>
                <c:pt idx="182" formatCode="0.0%">
                  <c:v>0.97699999999999998</c:v>
                </c:pt>
                <c:pt idx="183" formatCode="0.0%">
                  <c:v>0.98099999999999998</c:v>
                </c:pt>
                <c:pt idx="184" formatCode="0.0%">
                  <c:v>0.98099999999999998</c:v>
                </c:pt>
                <c:pt idx="185" formatCode="0.0%">
                  <c:v>0.98899999999999999</c:v>
                </c:pt>
                <c:pt idx="186" formatCode="0.0%">
                  <c:v>0.97799999999999998</c:v>
                </c:pt>
                <c:pt idx="187" formatCode="0.0%">
                  <c:v>0.97599999999999998</c:v>
                </c:pt>
                <c:pt idx="188" formatCode="0.0%">
                  <c:v>0.97899999999999998</c:v>
                </c:pt>
                <c:pt idx="189" formatCode="0.0%">
                  <c:v>0.98</c:v>
                </c:pt>
                <c:pt idx="190" formatCode="0.0%">
                  <c:v>0.98299999999999998</c:v>
                </c:pt>
                <c:pt idx="191" formatCode="0.0%">
                  <c:v>0.98399999999999999</c:v>
                </c:pt>
                <c:pt idx="192" formatCode="0.0%">
                  <c:v>0.98299999999999998</c:v>
                </c:pt>
                <c:pt idx="193" formatCode="0.0%">
                  <c:v>0.98399999999999999</c:v>
                </c:pt>
                <c:pt idx="194" formatCode="0.0%">
                  <c:v>0.98499999999999999</c:v>
                </c:pt>
                <c:pt idx="195" formatCode="0.0%">
                  <c:v>0.98899999999999999</c:v>
                </c:pt>
                <c:pt idx="196" formatCode="0.0%">
                  <c:v>0.98499999999999999</c:v>
                </c:pt>
                <c:pt idx="197" formatCode="0.0%">
                  <c:v>0.98299999999999998</c:v>
                </c:pt>
                <c:pt idx="198" formatCode="0.0%">
                  <c:v>0.98199999999999998</c:v>
                </c:pt>
                <c:pt idx="199" formatCode="0.0%">
                  <c:v>0.96899999999999997</c:v>
                </c:pt>
                <c:pt idx="200" formatCode="0.0%">
                  <c:v>0.94099999999999995</c:v>
                </c:pt>
                <c:pt idx="201" formatCode="0.0%">
                  <c:v>0.95099999999999996</c:v>
                </c:pt>
                <c:pt idx="202" formatCode="0.0%">
                  <c:v>0.96499999999999997</c:v>
                </c:pt>
                <c:pt idx="203" formatCode="0.0%">
                  <c:v>0.95899999999999996</c:v>
                </c:pt>
                <c:pt idx="204" formatCode="0.0%">
                  <c:v>0.94499999999999995</c:v>
                </c:pt>
                <c:pt idx="205" formatCode="0.0%">
                  <c:v>0.93700000000000006</c:v>
                </c:pt>
                <c:pt idx="206" formatCode="0.0%">
                  <c:v>0.96399999999999997</c:v>
                </c:pt>
                <c:pt idx="207" formatCode="0.0%">
                  <c:v>0.95699999999999996</c:v>
                </c:pt>
                <c:pt idx="208" formatCode="0.0%">
                  <c:v>0.93200000000000005</c:v>
                </c:pt>
                <c:pt idx="209" formatCode="0.0%">
                  <c:v>0.92800000000000005</c:v>
                </c:pt>
                <c:pt idx="210" formatCode="0.0%">
                  <c:v>0.93400000000000005</c:v>
                </c:pt>
                <c:pt idx="211" formatCode="0.0%">
                  <c:v>0.95699999999999996</c:v>
                </c:pt>
                <c:pt idx="212" formatCode="0.0%">
                  <c:v>0.94099999999999995</c:v>
                </c:pt>
                <c:pt idx="213" formatCode="0.0%">
                  <c:v>0.93300000000000005</c:v>
                </c:pt>
                <c:pt idx="214" formatCode="0.0%">
                  <c:v>0.95599999999999996</c:v>
                </c:pt>
                <c:pt idx="215" formatCode="0.0%">
                  <c:v>0.97799999999999998</c:v>
                </c:pt>
                <c:pt idx="216" formatCode="0.0%">
                  <c:v>0.96899999999999997</c:v>
                </c:pt>
                <c:pt idx="217" formatCode="0.0%">
                  <c:v>0.97099999999999997</c:v>
                </c:pt>
                <c:pt idx="218" formatCode="0.0%">
                  <c:v>0.96199999999999997</c:v>
                </c:pt>
                <c:pt idx="219" formatCode="0.0%">
                  <c:v>0.96299999999999997</c:v>
                </c:pt>
                <c:pt idx="220" formatCode="0.0%">
                  <c:v>0.96299999999999997</c:v>
                </c:pt>
                <c:pt idx="221" formatCode="0.0%">
                  <c:v>0.96399999999999997</c:v>
                </c:pt>
                <c:pt idx="222" formatCode="0.0%">
                  <c:v>0.96199999999999997</c:v>
                </c:pt>
                <c:pt idx="223" formatCode="0.0%">
                  <c:v>0.97399999999999998</c:v>
                </c:pt>
                <c:pt idx="224" formatCode="0.0%">
                  <c:v>0.98</c:v>
                </c:pt>
                <c:pt idx="225" formatCode="0.0%">
                  <c:v>0.97899999999999998</c:v>
                </c:pt>
                <c:pt idx="226" formatCode="0.0%">
                  <c:v>0.97399999999999998</c:v>
                </c:pt>
                <c:pt idx="227" formatCode="0.0%">
                  <c:v>0.97599999999999998</c:v>
                </c:pt>
                <c:pt idx="228" formatCode="0.0%">
                  <c:v>0.97</c:v>
                </c:pt>
                <c:pt idx="229" formatCode="0.0%">
                  <c:v>0.95199999999999996</c:v>
                </c:pt>
                <c:pt idx="230" formatCode="0.0%">
                  <c:v>0.97</c:v>
                </c:pt>
                <c:pt idx="231" formatCode="0.0%">
                  <c:v>0.96599999999999997</c:v>
                </c:pt>
                <c:pt idx="232" formatCode="0.0%">
                  <c:v>0.99</c:v>
                </c:pt>
                <c:pt idx="233" formatCode="0.0%">
                  <c:v>0.99</c:v>
                </c:pt>
                <c:pt idx="234" formatCode="0.0%">
                  <c:v>0.98799999999999999</c:v>
                </c:pt>
                <c:pt idx="235" formatCode="0.0%">
                  <c:v>0.98799999999999999</c:v>
                </c:pt>
                <c:pt idx="236" formatCode="0.0%">
                  <c:v>0.98499999999999999</c:v>
                </c:pt>
                <c:pt idx="237" formatCode="0.0%">
                  <c:v>0.98499999999999999</c:v>
                </c:pt>
                <c:pt idx="238" formatCode="0.0%">
                  <c:v>0.98499999999999999</c:v>
                </c:pt>
                <c:pt idx="239" formatCode="0.0%">
                  <c:v>0.98</c:v>
                </c:pt>
                <c:pt idx="240" formatCode="0.0%">
                  <c:v>0.97099999999999997</c:v>
                </c:pt>
                <c:pt idx="241" formatCode="0.0%">
                  <c:v>0.95199999999999996</c:v>
                </c:pt>
                <c:pt idx="242" formatCode="0.0%">
                  <c:v>0.96699999999999997</c:v>
                </c:pt>
                <c:pt idx="243" formatCode="0.0%">
                  <c:v>0.97199999999999998</c:v>
                </c:pt>
                <c:pt idx="244" formatCode="0.0%">
                  <c:v>0.97599999999999998</c:v>
                </c:pt>
                <c:pt idx="245" formatCode="0.0%">
                  <c:v>0.97399999999999998</c:v>
                </c:pt>
              </c:numCache>
            </c:numRef>
          </c:val>
          <c:smooth val="1"/>
          <c:extLst>
            <c:ext xmlns:c16="http://schemas.microsoft.com/office/drawing/2014/chart" uri="{C3380CC4-5D6E-409C-BE32-E72D297353CC}">
              <c16:uniqueId val="{00000000-5DE0-4098-B8BD-D89AFE3E4253}"/>
            </c:ext>
          </c:extLst>
        </c:ser>
        <c:ser>
          <c:idx val="1"/>
          <c:order val="1"/>
          <c:tx>
            <c:strRef>
              <c:f>Availability!$A$3</c:f>
              <c:strCache>
                <c:ptCount val="1"/>
                <c:pt idx="0">
                  <c:v>Torics PL,HB</c:v>
                </c:pt>
              </c:strCache>
            </c:strRef>
          </c:tx>
          <c:spPr>
            <a:ln w="15875" cap="rnd">
              <a:solidFill>
                <a:schemeClr val="accent2"/>
              </a:solidFill>
              <a:prstDash val="sysDash"/>
              <a:round/>
            </a:ln>
            <a:effectLst/>
          </c:spPr>
          <c:marker>
            <c:symbol val="none"/>
          </c:marker>
          <c:cat>
            <c:numRef>
              <c:f>Availability!$B$1:$IN$1</c:f>
              <c:numCache>
                <c:formatCode>m/d/yyyy</c:formatCode>
                <c:ptCount val="247"/>
                <c:pt idx="0">
                  <c:v>44253</c:v>
                </c:pt>
                <c:pt idx="1">
                  <c:v>44267</c:v>
                </c:pt>
                <c:pt idx="2">
                  <c:v>44281</c:v>
                </c:pt>
                <c:pt idx="3">
                  <c:v>44288</c:v>
                </c:pt>
                <c:pt idx="4">
                  <c:v>44295</c:v>
                </c:pt>
                <c:pt idx="5">
                  <c:v>44302</c:v>
                </c:pt>
                <c:pt idx="6">
                  <c:v>44309</c:v>
                </c:pt>
                <c:pt idx="7">
                  <c:v>44316</c:v>
                </c:pt>
                <c:pt idx="8">
                  <c:v>44323</c:v>
                </c:pt>
                <c:pt idx="9">
                  <c:v>44330</c:v>
                </c:pt>
                <c:pt idx="10">
                  <c:v>44337</c:v>
                </c:pt>
                <c:pt idx="11">
                  <c:v>44344</c:v>
                </c:pt>
                <c:pt idx="12">
                  <c:v>44351</c:v>
                </c:pt>
                <c:pt idx="13">
                  <c:v>44379</c:v>
                </c:pt>
                <c:pt idx="14">
                  <c:v>44386</c:v>
                </c:pt>
                <c:pt idx="15">
                  <c:v>44407</c:v>
                </c:pt>
                <c:pt idx="16">
                  <c:v>44414</c:v>
                </c:pt>
                <c:pt idx="17">
                  <c:v>44420</c:v>
                </c:pt>
                <c:pt idx="18">
                  <c:v>44427</c:v>
                </c:pt>
                <c:pt idx="19">
                  <c:v>44435</c:v>
                </c:pt>
                <c:pt idx="20">
                  <c:v>44441</c:v>
                </c:pt>
                <c:pt idx="21">
                  <c:v>44448</c:v>
                </c:pt>
                <c:pt idx="22">
                  <c:v>44456</c:v>
                </c:pt>
                <c:pt idx="23">
                  <c:v>44462</c:v>
                </c:pt>
                <c:pt idx="24">
                  <c:v>44476</c:v>
                </c:pt>
                <c:pt idx="25">
                  <c:v>44482</c:v>
                </c:pt>
                <c:pt idx="26">
                  <c:v>44490</c:v>
                </c:pt>
                <c:pt idx="27">
                  <c:v>44497</c:v>
                </c:pt>
                <c:pt idx="28">
                  <c:v>44504</c:v>
                </c:pt>
                <c:pt idx="29">
                  <c:v>44512</c:v>
                </c:pt>
                <c:pt idx="30">
                  <c:v>44519</c:v>
                </c:pt>
                <c:pt idx="31">
                  <c:v>44529</c:v>
                </c:pt>
                <c:pt idx="32">
                  <c:v>44533</c:v>
                </c:pt>
                <c:pt idx="33">
                  <c:v>44539</c:v>
                </c:pt>
                <c:pt idx="34">
                  <c:v>44546</c:v>
                </c:pt>
                <c:pt idx="35">
                  <c:v>44553</c:v>
                </c:pt>
                <c:pt idx="36">
                  <c:v>44560</c:v>
                </c:pt>
                <c:pt idx="37">
                  <c:v>44574</c:v>
                </c:pt>
                <c:pt idx="38">
                  <c:v>44581</c:v>
                </c:pt>
                <c:pt idx="39">
                  <c:v>44588</c:v>
                </c:pt>
                <c:pt idx="40">
                  <c:v>44595</c:v>
                </c:pt>
                <c:pt idx="41">
                  <c:v>44602</c:v>
                </c:pt>
                <c:pt idx="42">
                  <c:v>44609</c:v>
                </c:pt>
                <c:pt idx="43">
                  <c:v>44616</c:v>
                </c:pt>
                <c:pt idx="44">
                  <c:v>44622</c:v>
                </c:pt>
                <c:pt idx="45">
                  <c:v>44630</c:v>
                </c:pt>
                <c:pt idx="46">
                  <c:v>44637</c:v>
                </c:pt>
                <c:pt idx="47">
                  <c:v>44643</c:v>
                </c:pt>
                <c:pt idx="48">
                  <c:v>44651</c:v>
                </c:pt>
                <c:pt idx="49">
                  <c:v>44658</c:v>
                </c:pt>
                <c:pt idx="50">
                  <c:v>44665</c:v>
                </c:pt>
                <c:pt idx="51">
                  <c:v>44672</c:v>
                </c:pt>
                <c:pt idx="52">
                  <c:v>44679</c:v>
                </c:pt>
                <c:pt idx="53">
                  <c:v>44686</c:v>
                </c:pt>
                <c:pt idx="54">
                  <c:v>44693</c:v>
                </c:pt>
                <c:pt idx="55">
                  <c:v>44700</c:v>
                </c:pt>
                <c:pt idx="56">
                  <c:v>44707</c:v>
                </c:pt>
                <c:pt idx="57">
                  <c:v>44714</c:v>
                </c:pt>
                <c:pt idx="58">
                  <c:v>44728</c:v>
                </c:pt>
                <c:pt idx="59">
                  <c:v>44735</c:v>
                </c:pt>
                <c:pt idx="60">
                  <c:v>44742</c:v>
                </c:pt>
                <c:pt idx="61">
                  <c:v>44749</c:v>
                </c:pt>
                <c:pt idx="62">
                  <c:v>44763</c:v>
                </c:pt>
                <c:pt idx="63">
                  <c:v>44770</c:v>
                </c:pt>
                <c:pt idx="64">
                  <c:v>44777</c:v>
                </c:pt>
                <c:pt idx="65">
                  <c:v>44784</c:v>
                </c:pt>
                <c:pt idx="66">
                  <c:v>44791</c:v>
                </c:pt>
                <c:pt idx="67">
                  <c:v>44798</c:v>
                </c:pt>
                <c:pt idx="68">
                  <c:v>44805</c:v>
                </c:pt>
                <c:pt idx="69">
                  <c:v>44812</c:v>
                </c:pt>
                <c:pt idx="70">
                  <c:v>44819</c:v>
                </c:pt>
                <c:pt idx="71">
                  <c:v>44826</c:v>
                </c:pt>
                <c:pt idx="72">
                  <c:v>44840</c:v>
                </c:pt>
                <c:pt idx="73">
                  <c:v>44847</c:v>
                </c:pt>
                <c:pt idx="74">
                  <c:v>44854</c:v>
                </c:pt>
                <c:pt idx="75">
                  <c:v>44861</c:v>
                </c:pt>
                <c:pt idx="76">
                  <c:v>44868</c:v>
                </c:pt>
                <c:pt idx="77">
                  <c:v>44875</c:v>
                </c:pt>
                <c:pt idx="78">
                  <c:v>44882</c:v>
                </c:pt>
                <c:pt idx="79">
                  <c:v>44889</c:v>
                </c:pt>
                <c:pt idx="80">
                  <c:v>44896</c:v>
                </c:pt>
                <c:pt idx="81">
                  <c:v>44903</c:v>
                </c:pt>
                <c:pt idx="82">
                  <c:v>44910</c:v>
                </c:pt>
                <c:pt idx="83">
                  <c:v>44917</c:v>
                </c:pt>
                <c:pt idx="84">
                  <c:v>44924</c:v>
                </c:pt>
                <c:pt idx="85">
                  <c:v>44938</c:v>
                </c:pt>
                <c:pt idx="86">
                  <c:v>44945</c:v>
                </c:pt>
                <c:pt idx="87">
                  <c:v>44952</c:v>
                </c:pt>
                <c:pt idx="88">
                  <c:v>44959</c:v>
                </c:pt>
                <c:pt idx="89">
                  <c:v>44966</c:v>
                </c:pt>
                <c:pt idx="90">
                  <c:v>44973</c:v>
                </c:pt>
                <c:pt idx="91">
                  <c:v>44978</c:v>
                </c:pt>
                <c:pt idx="92">
                  <c:v>44987</c:v>
                </c:pt>
                <c:pt idx="93">
                  <c:v>44994</c:v>
                </c:pt>
                <c:pt idx="94">
                  <c:v>45001</c:v>
                </c:pt>
                <c:pt idx="95">
                  <c:v>45008</c:v>
                </c:pt>
                <c:pt idx="96">
                  <c:v>45015</c:v>
                </c:pt>
                <c:pt idx="97">
                  <c:v>45022</c:v>
                </c:pt>
                <c:pt idx="98">
                  <c:v>45029</c:v>
                </c:pt>
                <c:pt idx="99">
                  <c:v>45036</c:v>
                </c:pt>
                <c:pt idx="100">
                  <c:v>45043</c:v>
                </c:pt>
                <c:pt idx="101">
                  <c:v>45050</c:v>
                </c:pt>
                <c:pt idx="102">
                  <c:v>45057</c:v>
                </c:pt>
                <c:pt idx="103">
                  <c:v>45064</c:v>
                </c:pt>
                <c:pt idx="104">
                  <c:v>45071</c:v>
                </c:pt>
                <c:pt idx="105">
                  <c:v>45078</c:v>
                </c:pt>
                <c:pt idx="106">
                  <c:v>45085</c:v>
                </c:pt>
                <c:pt idx="107">
                  <c:v>45092</c:v>
                </c:pt>
                <c:pt idx="108">
                  <c:v>45099</c:v>
                </c:pt>
                <c:pt idx="109">
                  <c:v>45106</c:v>
                </c:pt>
                <c:pt idx="110">
                  <c:v>45113</c:v>
                </c:pt>
                <c:pt idx="111">
                  <c:v>45120</c:v>
                </c:pt>
                <c:pt idx="112">
                  <c:v>45127</c:v>
                </c:pt>
                <c:pt idx="113">
                  <c:v>45134</c:v>
                </c:pt>
                <c:pt idx="114">
                  <c:v>45141</c:v>
                </c:pt>
                <c:pt idx="115">
                  <c:v>45148</c:v>
                </c:pt>
                <c:pt idx="116">
                  <c:v>45155</c:v>
                </c:pt>
                <c:pt idx="117">
                  <c:v>45162</c:v>
                </c:pt>
                <c:pt idx="118">
                  <c:v>45169</c:v>
                </c:pt>
                <c:pt idx="119">
                  <c:v>45176</c:v>
                </c:pt>
                <c:pt idx="120">
                  <c:v>45183</c:v>
                </c:pt>
                <c:pt idx="121">
                  <c:v>45190</c:v>
                </c:pt>
                <c:pt idx="122">
                  <c:v>45197</c:v>
                </c:pt>
                <c:pt idx="123">
                  <c:v>45204</c:v>
                </c:pt>
                <c:pt idx="124">
                  <c:v>45211</c:v>
                </c:pt>
                <c:pt idx="125">
                  <c:v>45217</c:v>
                </c:pt>
                <c:pt idx="126">
                  <c:v>45225</c:v>
                </c:pt>
                <c:pt idx="127">
                  <c:v>45232</c:v>
                </c:pt>
                <c:pt idx="128">
                  <c:v>45239</c:v>
                </c:pt>
                <c:pt idx="129">
                  <c:v>45246</c:v>
                </c:pt>
                <c:pt idx="130">
                  <c:v>45253</c:v>
                </c:pt>
                <c:pt idx="131">
                  <c:v>45260</c:v>
                </c:pt>
                <c:pt idx="132">
                  <c:v>45267</c:v>
                </c:pt>
                <c:pt idx="133">
                  <c:v>45274</c:v>
                </c:pt>
                <c:pt idx="134">
                  <c:v>45281</c:v>
                </c:pt>
                <c:pt idx="135">
                  <c:v>45288</c:v>
                </c:pt>
                <c:pt idx="136">
                  <c:v>45302</c:v>
                </c:pt>
                <c:pt idx="137">
                  <c:v>45309</c:v>
                </c:pt>
                <c:pt idx="138">
                  <c:v>45316</c:v>
                </c:pt>
                <c:pt idx="139">
                  <c:v>45323</c:v>
                </c:pt>
                <c:pt idx="140">
                  <c:v>45330</c:v>
                </c:pt>
                <c:pt idx="141">
                  <c:v>45337</c:v>
                </c:pt>
                <c:pt idx="142">
                  <c:v>45344</c:v>
                </c:pt>
                <c:pt idx="143">
                  <c:v>45351</c:v>
                </c:pt>
                <c:pt idx="144">
                  <c:v>45358</c:v>
                </c:pt>
                <c:pt idx="145">
                  <c:v>45365</c:v>
                </c:pt>
                <c:pt idx="146">
                  <c:v>45372</c:v>
                </c:pt>
                <c:pt idx="147">
                  <c:v>45379</c:v>
                </c:pt>
                <c:pt idx="148">
                  <c:v>45386</c:v>
                </c:pt>
                <c:pt idx="149">
                  <c:v>45393</c:v>
                </c:pt>
                <c:pt idx="150">
                  <c:v>45400</c:v>
                </c:pt>
                <c:pt idx="151">
                  <c:v>45407</c:v>
                </c:pt>
                <c:pt idx="152">
                  <c:v>45414</c:v>
                </c:pt>
                <c:pt idx="153">
                  <c:v>45413</c:v>
                </c:pt>
                <c:pt idx="154">
                  <c:v>45428</c:v>
                </c:pt>
                <c:pt idx="155">
                  <c:v>45435</c:v>
                </c:pt>
                <c:pt idx="156">
                  <c:v>45442</c:v>
                </c:pt>
                <c:pt idx="157">
                  <c:v>45456</c:v>
                </c:pt>
                <c:pt idx="158">
                  <c:v>45463</c:v>
                </c:pt>
                <c:pt idx="159">
                  <c:v>45470</c:v>
                </c:pt>
                <c:pt idx="160">
                  <c:v>45477</c:v>
                </c:pt>
                <c:pt idx="161">
                  <c:v>45484</c:v>
                </c:pt>
                <c:pt idx="162">
                  <c:v>45491</c:v>
                </c:pt>
                <c:pt idx="163">
                  <c:v>45498</c:v>
                </c:pt>
                <c:pt idx="164">
                  <c:v>45505</c:v>
                </c:pt>
                <c:pt idx="165">
                  <c:v>45512</c:v>
                </c:pt>
                <c:pt idx="166">
                  <c:v>45519</c:v>
                </c:pt>
                <c:pt idx="167">
                  <c:v>45526</c:v>
                </c:pt>
                <c:pt idx="168">
                  <c:v>45533</c:v>
                </c:pt>
                <c:pt idx="169">
                  <c:v>45540</c:v>
                </c:pt>
                <c:pt idx="170">
                  <c:v>45547</c:v>
                </c:pt>
                <c:pt idx="171">
                  <c:v>45554</c:v>
                </c:pt>
                <c:pt idx="172">
                  <c:v>45561</c:v>
                </c:pt>
                <c:pt idx="173">
                  <c:v>45568</c:v>
                </c:pt>
                <c:pt idx="174">
                  <c:v>45575</c:v>
                </c:pt>
                <c:pt idx="175">
                  <c:v>45582</c:v>
                </c:pt>
                <c:pt idx="176">
                  <c:v>45589</c:v>
                </c:pt>
                <c:pt idx="177">
                  <c:v>45596</c:v>
                </c:pt>
                <c:pt idx="178">
                  <c:v>45603</c:v>
                </c:pt>
                <c:pt idx="179">
                  <c:v>45610</c:v>
                </c:pt>
                <c:pt idx="180">
                  <c:v>45617</c:v>
                </c:pt>
                <c:pt idx="181">
                  <c:v>45624</c:v>
                </c:pt>
                <c:pt idx="182">
                  <c:v>45631</c:v>
                </c:pt>
                <c:pt idx="183">
                  <c:v>45638</c:v>
                </c:pt>
                <c:pt idx="184">
                  <c:v>45645</c:v>
                </c:pt>
                <c:pt idx="185">
                  <c:v>45666</c:v>
                </c:pt>
                <c:pt idx="186">
                  <c:v>45673</c:v>
                </c:pt>
                <c:pt idx="187">
                  <c:v>45680</c:v>
                </c:pt>
                <c:pt idx="188">
                  <c:v>45687</c:v>
                </c:pt>
                <c:pt idx="189">
                  <c:v>45701</c:v>
                </c:pt>
                <c:pt idx="190">
                  <c:v>45708</c:v>
                </c:pt>
                <c:pt idx="191">
                  <c:v>45715</c:v>
                </c:pt>
                <c:pt idx="192">
                  <c:v>45722</c:v>
                </c:pt>
                <c:pt idx="193">
                  <c:v>45729</c:v>
                </c:pt>
                <c:pt idx="194">
                  <c:v>45736</c:v>
                </c:pt>
                <c:pt idx="195">
                  <c:v>45743</c:v>
                </c:pt>
                <c:pt idx="196">
                  <c:v>45750</c:v>
                </c:pt>
                <c:pt idx="197">
                  <c:v>45757</c:v>
                </c:pt>
                <c:pt idx="198">
                  <c:v>45764</c:v>
                </c:pt>
                <c:pt idx="199">
                  <c:v>45771</c:v>
                </c:pt>
                <c:pt idx="200">
                  <c:v>45792</c:v>
                </c:pt>
                <c:pt idx="201">
                  <c:v>45799</c:v>
                </c:pt>
                <c:pt idx="202">
                  <c:v>45806</c:v>
                </c:pt>
                <c:pt idx="203">
                  <c:v>45813</c:v>
                </c:pt>
                <c:pt idx="204">
                  <c:v>45841</c:v>
                </c:pt>
                <c:pt idx="205">
                  <c:v>45848</c:v>
                </c:pt>
                <c:pt idx="206">
                  <c:v>45855</c:v>
                </c:pt>
                <c:pt idx="207">
                  <c:v>45862</c:v>
                </c:pt>
                <c:pt idx="208">
                  <c:v>45869</c:v>
                </c:pt>
                <c:pt idx="209">
                  <c:v>45876</c:v>
                </c:pt>
                <c:pt idx="210">
                  <c:v>45883</c:v>
                </c:pt>
                <c:pt idx="211">
                  <c:v>45890</c:v>
                </c:pt>
                <c:pt idx="212">
                  <c:v>45897</c:v>
                </c:pt>
                <c:pt idx="213">
                  <c:v>45904</c:v>
                </c:pt>
                <c:pt idx="214">
                  <c:v>45925</c:v>
                </c:pt>
                <c:pt idx="215">
                  <c:v>45932</c:v>
                </c:pt>
                <c:pt idx="216">
                  <c:v>45939</c:v>
                </c:pt>
                <c:pt idx="217">
                  <c:v>45946</c:v>
                </c:pt>
                <c:pt idx="218">
                  <c:v>45953</c:v>
                </c:pt>
                <c:pt idx="219">
                  <c:v>45960</c:v>
                </c:pt>
                <c:pt idx="220">
                  <c:v>45967</c:v>
                </c:pt>
                <c:pt idx="221">
                  <c:v>45974</c:v>
                </c:pt>
                <c:pt idx="222">
                  <c:v>45981</c:v>
                </c:pt>
                <c:pt idx="223">
                  <c:v>45988</c:v>
                </c:pt>
                <c:pt idx="224">
                  <c:v>45995</c:v>
                </c:pt>
                <c:pt idx="225">
                  <c:v>46002</c:v>
                </c:pt>
                <c:pt idx="226">
                  <c:v>46009</c:v>
                </c:pt>
                <c:pt idx="227">
                  <c:v>46016</c:v>
                </c:pt>
                <c:pt idx="228">
                  <c:v>46038</c:v>
                </c:pt>
                <c:pt idx="229">
                  <c:v>46044</c:v>
                </c:pt>
                <c:pt idx="230">
                  <c:v>46051</c:v>
                </c:pt>
                <c:pt idx="231">
                  <c:v>46058</c:v>
                </c:pt>
                <c:pt idx="232">
                  <c:v>46065</c:v>
                </c:pt>
                <c:pt idx="233">
                  <c:v>46072</c:v>
                </c:pt>
                <c:pt idx="234">
                  <c:v>46079</c:v>
                </c:pt>
                <c:pt idx="235">
                  <c:v>46085</c:v>
                </c:pt>
                <c:pt idx="236">
                  <c:v>46100</c:v>
                </c:pt>
                <c:pt idx="237">
                  <c:v>46108</c:v>
                </c:pt>
                <c:pt idx="238">
                  <c:v>46114</c:v>
                </c:pt>
                <c:pt idx="239">
                  <c:v>46128</c:v>
                </c:pt>
                <c:pt idx="240">
                  <c:v>46135</c:v>
                </c:pt>
                <c:pt idx="241">
                  <c:v>46149</c:v>
                </c:pt>
                <c:pt idx="242">
                  <c:v>46192</c:v>
                </c:pt>
                <c:pt idx="243">
                  <c:v>46199</c:v>
                </c:pt>
                <c:pt idx="244">
                  <c:v>46205</c:v>
                </c:pt>
                <c:pt idx="245">
                  <c:v>46212</c:v>
                </c:pt>
              </c:numCache>
            </c:numRef>
          </c:cat>
          <c:val>
            <c:numRef>
              <c:f>Availability!$B$3:$IN$3</c:f>
              <c:numCache>
                <c:formatCode>0%</c:formatCode>
                <c:ptCount val="247"/>
                <c:pt idx="0">
                  <c:v>0.93566666666666665</c:v>
                </c:pt>
                <c:pt idx="1">
                  <c:v>0.92466666666666664</c:v>
                </c:pt>
                <c:pt idx="2">
                  <c:v>0.93366666666666653</c:v>
                </c:pt>
                <c:pt idx="3">
                  <c:v>0.92799999999999994</c:v>
                </c:pt>
                <c:pt idx="4">
                  <c:v>0.93500000000000005</c:v>
                </c:pt>
                <c:pt idx="5">
                  <c:v>0.92133333333333345</c:v>
                </c:pt>
                <c:pt idx="6">
                  <c:v>0.92133333333333345</c:v>
                </c:pt>
                <c:pt idx="7">
                  <c:v>0.91600000000000004</c:v>
                </c:pt>
                <c:pt idx="8">
                  <c:v>0.95199999999999996</c:v>
                </c:pt>
                <c:pt idx="9">
                  <c:v>0.93533333333333335</c:v>
                </c:pt>
                <c:pt idx="10">
                  <c:v>0.92633333333333334</c:v>
                </c:pt>
                <c:pt idx="11">
                  <c:v>0.94166666666666654</c:v>
                </c:pt>
                <c:pt idx="12">
                  <c:v>0.96166666666666678</c:v>
                </c:pt>
                <c:pt idx="13">
                  <c:v>0.98466666666666658</c:v>
                </c:pt>
                <c:pt idx="14">
                  <c:v>0.99</c:v>
                </c:pt>
                <c:pt idx="15">
                  <c:v>0.99</c:v>
                </c:pt>
                <c:pt idx="16">
                  <c:v>0.98</c:v>
                </c:pt>
                <c:pt idx="17">
                  <c:v>0.98239999999999994</c:v>
                </c:pt>
                <c:pt idx="18">
                  <c:v>0.98080000000000001</c:v>
                </c:pt>
                <c:pt idx="19">
                  <c:v>0.97839999999999994</c:v>
                </c:pt>
                <c:pt idx="20">
                  <c:v>0.98326059372035357</c:v>
                </c:pt>
                <c:pt idx="21">
                  <c:v>0.98566584669945845</c:v>
                </c:pt>
                <c:pt idx="22">
                  <c:v>0.98499999999999999</c:v>
                </c:pt>
                <c:pt idx="23">
                  <c:v>0.98499999999999999</c:v>
                </c:pt>
                <c:pt idx="24">
                  <c:v>0.99199999999999999</c:v>
                </c:pt>
                <c:pt idx="25">
                  <c:v>0.99</c:v>
                </c:pt>
                <c:pt idx="26">
                  <c:v>0.98917358686431456</c:v>
                </c:pt>
                <c:pt idx="27">
                  <c:v>0.98799999999999999</c:v>
                </c:pt>
                <c:pt idx="28">
                  <c:v>0.98899999999999999</c:v>
                </c:pt>
                <c:pt idx="29">
                  <c:v>0.98899999999999999</c:v>
                </c:pt>
                <c:pt idx="30">
                  <c:v>0.99199999999999999</c:v>
                </c:pt>
                <c:pt idx="31">
                  <c:v>0.99</c:v>
                </c:pt>
                <c:pt idx="32">
                  <c:v>0.99</c:v>
                </c:pt>
                <c:pt idx="33">
                  <c:v>0.98199999999999998</c:v>
                </c:pt>
                <c:pt idx="34">
                  <c:v>0.97599999999999998</c:v>
                </c:pt>
                <c:pt idx="35">
                  <c:v>0.96899999999999997</c:v>
                </c:pt>
                <c:pt idx="36">
                  <c:v>0.98099999999999998</c:v>
                </c:pt>
                <c:pt idx="37">
                  <c:v>0.98299999999999998</c:v>
                </c:pt>
                <c:pt idx="38">
                  <c:v>0.97899999999999998</c:v>
                </c:pt>
                <c:pt idx="39">
                  <c:v>0.97699999999999998</c:v>
                </c:pt>
                <c:pt idx="40">
                  <c:v>0.97399999999999998</c:v>
                </c:pt>
                <c:pt idx="41">
                  <c:v>0.98</c:v>
                </c:pt>
                <c:pt idx="42">
                  <c:v>0.97</c:v>
                </c:pt>
                <c:pt idx="43">
                  <c:v>0.97823857850157359</c:v>
                </c:pt>
                <c:pt idx="44">
                  <c:v>0.98469641252196161</c:v>
                </c:pt>
                <c:pt idx="45">
                  <c:v>0.97899999999999998</c:v>
                </c:pt>
                <c:pt idx="46">
                  <c:v>0.96374545437370696</c:v>
                </c:pt>
                <c:pt idx="47">
                  <c:v>0.973512640089227</c:v>
                </c:pt>
                <c:pt idx="48">
                  <c:v>0.96723129524945772</c:v>
                </c:pt>
                <c:pt idx="49" formatCode="0.0%">
                  <c:v>0.96653709438065927</c:v>
                </c:pt>
                <c:pt idx="50" formatCode="0.0%">
                  <c:v>0.95689500189991283</c:v>
                </c:pt>
                <c:pt idx="51" formatCode="0.0%">
                  <c:v>0.95484225314886095</c:v>
                </c:pt>
                <c:pt idx="52" formatCode="0.0%">
                  <c:v>0.96899999999999997</c:v>
                </c:pt>
                <c:pt idx="53" formatCode="0.0%">
                  <c:v>0.96499999999999997</c:v>
                </c:pt>
                <c:pt idx="54" formatCode="0.0%">
                  <c:v>0.96</c:v>
                </c:pt>
                <c:pt idx="55" formatCode="0.0%">
                  <c:v>0.97899999999999998</c:v>
                </c:pt>
                <c:pt idx="56" formatCode="0.0%">
                  <c:v>0.97099999999999997</c:v>
                </c:pt>
                <c:pt idx="57" formatCode="0.0%">
                  <c:v>0.97599999999999998</c:v>
                </c:pt>
                <c:pt idx="58" formatCode="0.0%">
                  <c:v>0.98199999999999998</c:v>
                </c:pt>
                <c:pt idx="59" formatCode="0.0%">
                  <c:v>0.97699999999999998</c:v>
                </c:pt>
                <c:pt idx="60" formatCode="0.0%">
                  <c:v>0.97399999999999998</c:v>
                </c:pt>
                <c:pt idx="61" formatCode="0.0%">
                  <c:v>0.97399999999999998</c:v>
                </c:pt>
                <c:pt idx="62" formatCode="0.0%">
                  <c:v>0.97699999999999998</c:v>
                </c:pt>
                <c:pt idx="63" formatCode="0.0%">
                  <c:v>0.98</c:v>
                </c:pt>
                <c:pt idx="64" formatCode="0.0%">
                  <c:v>0.98499999999999999</c:v>
                </c:pt>
                <c:pt idx="65" formatCode="0.0%">
                  <c:v>0.98</c:v>
                </c:pt>
                <c:pt idx="66" formatCode="0.0%">
                  <c:v>0.98099999999999998</c:v>
                </c:pt>
                <c:pt idx="67" formatCode="0.0%">
                  <c:v>0.97899999999999998</c:v>
                </c:pt>
                <c:pt idx="68" formatCode="0.0%">
                  <c:v>0.97699999999999998</c:v>
                </c:pt>
                <c:pt idx="69" formatCode="0.0%">
                  <c:v>0.95899999999999996</c:v>
                </c:pt>
                <c:pt idx="70" formatCode="0.0%">
                  <c:v>0.95599999999999996</c:v>
                </c:pt>
                <c:pt idx="71" formatCode="0.0%">
                  <c:v>0.96299999999999997</c:v>
                </c:pt>
                <c:pt idx="72" formatCode="0.0%">
                  <c:v>0.97399999999999998</c:v>
                </c:pt>
                <c:pt idx="73" formatCode="0.0%">
                  <c:v>0.96399999999999997</c:v>
                </c:pt>
                <c:pt idx="74" formatCode="0.0%">
                  <c:v>0.96199999999999997</c:v>
                </c:pt>
                <c:pt idx="75" formatCode="0.0%">
                  <c:v>0.97499999999999998</c:v>
                </c:pt>
                <c:pt idx="76" formatCode="0.0%">
                  <c:v>0.97599999999999998</c:v>
                </c:pt>
                <c:pt idx="77" formatCode="0.0%">
                  <c:v>0.96399999999999997</c:v>
                </c:pt>
                <c:pt idx="78" formatCode="0.0%">
                  <c:v>0.95699999999999996</c:v>
                </c:pt>
                <c:pt idx="79" formatCode="0.0%">
                  <c:v>0.95499999999999996</c:v>
                </c:pt>
                <c:pt idx="80" formatCode="0.0%">
                  <c:v>0.96599999999999997</c:v>
                </c:pt>
                <c:pt idx="81" formatCode="0.0%">
                  <c:v>0.95599999999999996</c:v>
                </c:pt>
                <c:pt idx="82" formatCode="0.0%">
                  <c:v>0.96199999999999997</c:v>
                </c:pt>
                <c:pt idx="83" formatCode="0.0%">
                  <c:v>0.96199999999999997</c:v>
                </c:pt>
                <c:pt idx="84" formatCode="0.0%">
                  <c:v>0.95799999999999996</c:v>
                </c:pt>
                <c:pt idx="85" formatCode="0.0%">
                  <c:v>0.96899999999999997</c:v>
                </c:pt>
                <c:pt idx="86" formatCode="0.0%">
                  <c:v>0.97399999999999998</c:v>
                </c:pt>
                <c:pt idx="87" formatCode="0.0%">
                  <c:v>0.97399999999999998</c:v>
                </c:pt>
                <c:pt idx="88" formatCode="0.0%">
                  <c:v>0.97799999999999998</c:v>
                </c:pt>
                <c:pt idx="89" formatCode="0.0%">
                  <c:v>0.97499999999999998</c:v>
                </c:pt>
                <c:pt idx="90" formatCode="0.0%">
                  <c:v>0.97599999999999998</c:v>
                </c:pt>
                <c:pt idx="91" formatCode="0.0%">
                  <c:v>0.97299999999999998</c:v>
                </c:pt>
                <c:pt idx="92" formatCode="0.0%">
                  <c:v>0.97599999999999998</c:v>
                </c:pt>
                <c:pt idx="93" formatCode="0.0%">
                  <c:v>0.97499999999999998</c:v>
                </c:pt>
                <c:pt idx="94" formatCode="0.0%">
                  <c:v>0.97899999999999998</c:v>
                </c:pt>
                <c:pt idx="95" formatCode="0.0%">
                  <c:v>0.97899999999999998</c:v>
                </c:pt>
                <c:pt idx="96" formatCode="0.0%">
                  <c:v>0.97699999999999998</c:v>
                </c:pt>
                <c:pt idx="97" formatCode="0.0%">
                  <c:v>0.97399999999999998</c:v>
                </c:pt>
                <c:pt idx="98" formatCode="0.0%">
                  <c:v>0.97699999999999998</c:v>
                </c:pt>
                <c:pt idx="99" formatCode="0.0%">
                  <c:v>0.98</c:v>
                </c:pt>
                <c:pt idx="100" formatCode="0.0%">
                  <c:v>0.98</c:v>
                </c:pt>
                <c:pt idx="101" formatCode="0.0%">
                  <c:v>0.98099999999999998</c:v>
                </c:pt>
                <c:pt idx="102" formatCode="0.0%">
                  <c:v>0.98299999999999998</c:v>
                </c:pt>
                <c:pt idx="103" formatCode="0.0%">
                  <c:v>0.97899999999999998</c:v>
                </c:pt>
                <c:pt idx="104" formatCode="0.0%">
                  <c:v>0.98199999999999998</c:v>
                </c:pt>
                <c:pt idx="105" formatCode="0.0%">
                  <c:v>0.98599999999999999</c:v>
                </c:pt>
                <c:pt idx="106" formatCode="0.0%">
                  <c:v>0.98099999999999998</c:v>
                </c:pt>
                <c:pt idx="107" formatCode="0.0%">
                  <c:v>0.98</c:v>
                </c:pt>
                <c:pt idx="108" formatCode="0.0%">
                  <c:v>0.96799999999999997</c:v>
                </c:pt>
                <c:pt idx="109" formatCode="0.0%">
                  <c:v>0.95299999999999996</c:v>
                </c:pt>
                <c:pt idx="110" formatCode="0.0%">
                  <c:v>0.93899999999999995</c:v>
                </c:pt>
                <c:pt idx="111" formatCode="0.0%">
                  <c:v>0.93500000000000005</c:v>
                </c:pt>
                <c:pt idx="112" formatCode="0.0%">
                  <c:v>0.94299999999999995</c:v>
                </c:pt>
                <c:pt idx="113" formatCode="0.0%">
                  <c:v>0.95799999999999996</c:v>
                </c:pt>
                <c:pt idx="114" formatCode="0.0%">
                  <c:v>0.94799999999999995</c:v>
                </c:pt>
                <c:pt idx="115" formatCode="0.0%">
                  <c:v>0.93400000000000005</c:v>
                </c:pt>
                <c:pt idx="116" formatCode="0.0%">
                  <c:v>0.91600000000000004</c:v>
                </c:pt>
                <c:pt idx="117" formatCode="0.0%">
                  <c:v>0.90800000000000003</c:v>
                </c:pt>
                <c:pt idx="118" formatCode="0.0%">
                  <c:v>0.91500000000000004</c:v>
                </c:pt>
                <c:pt idx="119" formatCode="0.0%">
                  <c:v>0.92</c:v>
                </c:pt>
                <c:pt idx="120" formatCode="0.0%">
                  <c:v>0.92200000000000004</c:v>
                </c:pt>
                <c:pt idx="121" formatCode="0.0%">
                  <c:v>0.92600000000000005</c:v>
                </c:pt>
                <c:pt idx="122" formatCode="0.0%">
                  <c:v>0.95499999999999996</c:v>
                </c:pt>
                <c:pt idx="123" formatCode="0.0%">
                  <c:v>0.94599999999999995</c:v>
                </c:pt>
                <c:pt idx="124" formatCode="0.0%">
                  <c:v>0.94499999999999995</c:v>
                </c:pt>
                <c:pt idx="125" formatCode="0.0%">
                  <c:v>0.94599999999999995</c:v>
                </c:pt>
                <c:pt idx="126" formatCode="0.0%">
                  <c:v>0.95099999999999996</c:v>
                </c:pt>
                <c:pt idx="127" formatCode="0.0%">
                  <c:v>0.95499999999999996</c:v>
                </c:pt>
                <c:pt idx="128" formatCode="0.0%">
                  <c:v>0.95399999999999996</c:v>
                </c:pt>
                <c:pt idx="129" formatCode="0.0%">
                  <c:v>0.95499999999999996</c:v>
                </c:pt>
                <c:pt idx="130" formatCode="0.0%">
                  <c:v>0.95499999999999996</c:v>
                </c:pt>
                <c:pt idx="131" formatCode="0.0%">
                  <c:v>0.94699999999999995</c:v>
                </c:pt>
                <c:pt idx="132" formatCode="0.0%">
                  <c:v>0.95699999999999996</c:v>
                </c:pt>
                <c:pt idx="133" formatCode="0.0%">
                  <c:v>0.94299999999999995</c:v>
                </c:pt>
                <c:pt idx="134" formatCode="0.0%">
                  <c:v>0.95599999999999996</c:v>
                </c:pt>
                <c:pt idx="135" formatCode="0.0%">
                  <c:v>0.94399999999999995</c:v>
                </c:pt>
                <c:pt idx="136" formatCode="0.0%">
                  <c:v>0.96499999999999997</c:v>
                </c:pt>
                <c:pt idx="137" formatCode="0.0%">
                  <c:v>0.95799999999999996</c:v>
                </c:pt>
                <c:pt idx="138" formatCode="0.0%">
                  <c:v>0.96199999999999997</c:v>
                </c:pt>
                <c:pt idx="139" formatCode="0.0%">
                  <c:v>0.96699999999999997</c:v>
                </c:pt>
                <c:pt idx="140" formatCode="0.0%">
                  <c:v>0.96</c:v>
                </c:pt>
                <c:pt idx="141" formatCode="0.0%">
                  <c:v>0.96299999999999997</c:v>
                </c:pt>
                <c:pt idx="142" formatCode="0.0%">
                  <c:v>0.96499999999999997</c:v>
                </c:pt>
                <c:pt idx="143" formatCode="0.0%">
                  <c:v>0.96499999999999997</c:v>
                </c:pt>
                <c:pt idx="144" formatCode="0.0%">
                  <c:v>0.96499999999999997</c:v>
                </c:pt>
                <c:pt idx="145" formatCode="0.0%">
                  <c:v>0.96</c:v>
                </c:pt>
                <c:pt idx="146" formatCode="0.0%">
                  <c:v>0.95699999999999996</c:v>
                </c:pt>
                <c:pt idx="147" formatCode="0.0%">
                  <c:v>0.96199999999999997</c:v>
                </c:pt>
                <c:pt idx="148" formatCode="0.0%">
                  <c:v>0.95699999999999996</c:v>
                </c:pt>
                <c:pt idx="149" formatCode="0.0%">
                  <c:v>0.95399999999999996</c:v>
                </c:pt>
                <c:pt idx="150" formatCode="0.0%">
                  <c:v>0.95599999999999996</c:v>
                </c:pt>
                <c:pt idx="151" formatCode="0.0%">
                  <c:v>0.95799999999999996</c:v>
                </c:pt>
                <c:pt idx="152" formatCode="0.0%">
                  <c:v>0.95799999999999996</c:v>
                </c:pt>
                <c:pt idx="153" formatCode="0.0%">
                  <c:v>0.95799999999999996</c:v>
                </c:pt>
                <c:pt idx="154" formatCode="0.0%">
                  <c:v>0.95499999999999996</c:v>
                </c:pt>
                <c:pt idx="155" formatCode="0.0%">
                  <c:v>0.96599999999999997</c:v>
                </c:pt>
                <c:pt idx="156" formatCode="0.0%">
                  <c:v>0.97</c:v>
                </c:pt>
                <c:pt idx="157" formatCode="0.0%">
                  <c:v>0.98</c:v>
                </c:pt>
                <c:pt idx="158" formatCode="0.0%">
                  <c:v>0.98099999999999998</c:v>
                </c:pt>
                <c:pt idx="159" formatCode="0.0%">
                  <c:v>0.98499999999999999</c:v>
                </c:pt>
                <c:pt idx="160" formatCode="0.0%">
                  <c:v>0.98799999999999999</c:v>
                </c:pt>
                <c:pt idx="161" formatCode="0.0%">
                  <c:v>0.98599999999999999</c:v>
                </c:pt>
                <c:pt idx="162" formatCode="0.0%">
                  <c:v>0.98799999999999999</c:v>
                </c:pt>
                <c:pt idx="163" formatCode="0.0%">
                  <c:v>0.98899999999999999</c:v>
                </c:pt>
                <c:pt idx="164" formatCode="0.0%">
                  <c:v>0.98499999999999999</c:v>
                </c:pt>
                <c:pt idx="165" formatCode="0.0%">
                  <c:v>0.98299999999999998</c:v>
                </c:pt>
                <c:pt idx="166" formatCode="0.0%">
                  <c:v>0.99099999999999999</c:v>
                </c:pt>
                <c:pt idx="167" formatCode="0.0%">
                  <c:v>0.98799999999999999</c:v>
                </c:pt>
                <c:pt idx="168" formatCode="0.0%">
                  <c:v>0.99099999999999999</c:v>
                </c:pt>
                <c:pt idx="169" formatCode="0.0%">
                  <c:v>0.99099999999999999</c:v>
                </c:pt>
                <c:pt idx="170" formatCode="0.0%">
                  <c:v>0.98899999999999999</c:v>
                </c:pt>
                <c:pt idx="171" formatCode="0.0%">
                  <c:v>0.98299999999999998</c:v>
                </c:pt>
                <c:pt idx="172" formatCode="0.0%">
                  <c:v>0.98299999999999998</c:v>
                </c:pt>
                <c:pt idx="173" formatCode="0.0%">
                  <c:v>0.98699999999999999</c:v>
                </c:pt>
                <c:pt idx="174" formatCode="0.0%">
                  <c:v>0.98099999999999998</c:v>
                </c:pt>
                <c:pt idx="175" formatCode="0.0%">
                  <c:v>0.97899999999999998</c:v>
                </c:pt>
                <c:pt idx="176" formatCode="0.0%">
                  <c:v>0.98399999999999999</c:v>
                </c:pt>
                <c:pt idx="177" formatCode="0.0%">
                  <c:v>0.98199999999999998</c:v>
                </c:pt>
                <c:pt idx="178" formatCode="0.0%">
                  <c:v>0.97699999999999998</c:v>
                </c:pt>
                <c:pt idx="179" formatCode="0.0%">
                  <c:v>0.97699999999999998</c:v>
                </c:pt>
                <c:pt idx="180" formatCode="0.0%">
                  <c:v>0.97799999999999998</c:v>
                </c:pt>
                <c:pt idx="181" formatCode="0.0%">
                  <c:v>0.98199999999999998</c:v>
                </c:pt>
                <c:pt idx="182" formatCode="0.0%">
                  <c:v>0.98</c:v>
                </c:pt>
                <c:pt idx="183" formatCode="0.0%">
                  <c:v>0.98</c:v>
                </c:pt>
                <c:pt idx="184" formatCode="0.0%">
                  <c:v>0.98299999999999998</c:v>
                </c:pt>
                <c:pt idx="185" formatCode="0.0%">
                  <c:v>0.98499999999999999</c:v>
                </c:pt>
                <c:pt idx="186" formatCode="0.0%">
                  <c:v>0.97199999999999998</c:v>
                </c:pt>
                <c:pt idx="187" formatCode="0.0%">
                  <c:v>0.97599999999999998</c:v>
                </c:pt>
                <c:pt idx="188" formatCode="0.0%">
                  <c:v>0.97399999999999998</c:v>
                </c:pt>
                <c:pt idx="189" formatCode="0.0%">
                  <c:v>0.97099999999999997</c:v>
                </c:pt>
                <c:pt idx="190" formatCode="0.0%">
                  <c:v>0.97099999999999997</c:v>
                </c:pt>
                <c:pt idx="191" formatCode="0.0%">
                  <c:v>0.98299999999999998</c:v>
                </c:pt>
                <c:pt idx="192" formatCode="0.0%">
                  <c:v>0.97899999999999998</c:v>
                </c:pt>
                <c:pt idx="193" formatCode="0.0%">
                  <c:v>0.97899999999999998</c:v>
                </c:pt>
                <c:pt idx="194" formatCode="0.0%">
                  <c:v>0.97699999999999998</c:v>
                </c:pt>
                <c:pt idx="195" formatCode="0.0%">
                  <c:v>0.98</c:v>
                </c:pt>
                <c:pt idx="196" formatCode="0.0%">
                  <c:v>0.97599999999999998</c:v>
                </c:pt>
                <c:pt idx="197" formatCode="0.0%">
                  <c:v>0.98</c:v>
                </c:pt>
                <c:pt idx="198" formatCode="0.0%">
                  <c:v>0.98199999999999998</c:v>
                </c:pt>
                <c:pt idx="199" formatCode="0.0%">
                  <c:v>0.97899999999999998</c:v>
                </c:pt>
                <c:pt idx="200" formatCode="0.0%">
                  <c:v>0.96499999999999997</c:v>
                </c:pt>
                <c:pt idx="201" formatCode="0.0%">
                  <c:v>0.96499999999999997</c:v>
                </c:pt>
                <c:pt idx="202" formatCode="0.0%">
                  <c:v>0.96399999999999997</c:v>
                </c:pt>
                <c:pt idx="203" formatCode="0.0%">
                  <c:v>0.97399999999999998</c:v>
                </c:pt>
                <c:pt idx="204" formatCode="0.0%">
                  <c:v>0.96899999999999997</c:v>
                </c:pt>
                <c:pt idx="205" formatCode="0.0%">
                  <c:v>0.96599999999999997</c:v>
                </c:pt>
                <c:pt idx="206" formatCode="0.0%">
                  <c:v>0.96399999999999997</c:v>
                </c:pt>
                <c:pt idx="207" formatCode="0.0%">
                  <c:v>0.96599999999999997</c:v>
                </c:pt>
                <c:pt idx="208" formatCode="0.0%">
                  <c:v>0.95799999999999996</c:v>
                </c:pt>
                <c:pt idx="209" formatCode="0.0%">
                  <c:v>0.95199999999999996</c:v>
                </c:pt>
                <c:pt idx="210" formatCode="0.0%">
                  <c:v>0.94699999999999995</c:v>
                </c:pt>
                <c:pt idx="211" formatCode="0.0%">
                  <c:v>0.93799999999999994</c:v>
                </c:pt>
                <c:pt idx="212" formatCode="0.0%">
                  <c:v>0.92500000000000004</c:v>
                </c:pt>
                <c:pt idx="213" formatCode="0.0%">
                  <c:v>0.92700000000000005</c:v>
                </c:pt>
                <c:pt idx="214" formatCode="0.0%">
                  <c:v>0.94199999999999995</c:v>
                </c:pt>
                <c:pt idx="215" formatCode="0.0%">
                  <c:v>0.94199999999999995</c:v>
                </c:pt>
                <c:pt idx="216" formatCode="0.0%">
                  <c:v>0.93600000000000005</c:v>
                </c:pt>
                <c:pt idx="217" formatCode="0.0%">
                  <c:v>0.94199999999999995</c:v>
                </c:pt>
                <c:pt idx="218" formatCode="0.0%">
                  <c:v>0.94799999999999995</c:v>
                </c:pt>
                <c:pt idx="219" formatCode="0.0%">
                  <c:v>0.93600000000000005</c:v>
                </c:pt>
                <c:pt idx="220" formatCode="0.0%">
                  <c:v>0.92900000000000005</c:v>
                </c:pt>
                <c:pt idx="221" formatCode="0.0%">
                  <c:v>0.94199999999999995</c:v>
                </c:pt>
                <c:pt idx="222" formatCode="0.0%">
                  <c:v>0.94299999999999995</c:v>
                </c:pt>
                <c:pt idx="223" formatCode="0.0%">
                  <c:v>0.94699999999999995</c:v>
                </c:pt>
                <c:pt idx="224" formatCode="0.0%">
                  <c:v>0.94799999999999995</c:v>
                </c:pt>
                <c:pt idx="225" formatCode="0.0%">
                  <c:v>0.94499999999999995</c:v>
                </c:pt>
                <c:pt idx="226" formatCode="0.0%">
                  <c:v>0.94099999999999995</c:v>
                </c:pt>
                <c:pt idx="227" formatCode="0.0%">
                  <c:v>0.94599999999999995</c:v>
                </c:pt>
                <c:pt idx="228" formatCode="0.0%">
                  <c:v>0.94699999999999995</c:v>
                </c:pt>
                <c:pt idx="229" formatCode="0.0%">
                  <c:v>0.94299999999999995</c:v>
                </c:pt>
                <c:pt idx="230" formatCode="0.0%">
                  <c:v>0.95</c:v>
                </c:pt>
                <c:pt idx="231" formatCode="0.0%">
                  <c:v>0.94099999999999995</c:v>
                </c:pt>
                <c:pt idx="232" formatCode="0.0%">
                  <c:v>0.93600000000000005</c:v>
                </c:pt>
                <c:pt idx="233" formatCode="0.0%">
                  <c:v>0.93899999999999995</c:v>
                </c:pt>
                <c:pt idx="234" formatCode="0.0%">
                  <c:v>0.95399999999999996</c:v>
                </c:pt>
                <c:pt idx="235" formatCode="0.0%">
                  <c:v>0.95499999999999996</c:v>
                </c:pt>
                <c:pt idx="236" formatCode="0.0%">
                  <c:v>0.94899999999999995</c:v>
                </c:pt>
                <c:pt idx="237" formatCode="0.0%">
                  <c:v>0.94899999999999995</c:v>
                </c:pt>
                <c:pt idx="238" formatCode="0.0%">
                  <c:v>0.94799999999999995</c:v>
                </c:pt>
                <c:pt idx="239" formatCode="0.0%">
                  <c:v>0.97099999999999997</c:v>
                </c:pt>
                <c:pt idx="240" formatCode="0.0%">
                  <c:v>0.97</c:v>
                </c:pt>
                <c:pt idx="241" formatCode="0.0%">
                  <c:v>0.95699999999999996</c:v>
                </c:pt>
                <c:pt idx="242" formatCode="0.0%">
                  <c:v>0.94699999999999995</c:v>
                </c:pt>
                <c:pt idx="243" formatCode="0.0%">
                  <c:v>0.96</c:v>
                </c:pt>
                <c:pt idx="244" formatCode="0.0%">
                  <c:v>0.96</c:v>
                </c:pt>
                <c:pt idx="245" formatCode="0.0%">
                  <c:v>0.96199999999999997</c:v>
                </c:pt>
              </c:numCache>
            </c:numRef>
          </c:val>
          <c:smooth val="1"/>
          <c:extLst>
            <c:ext xmlns:c16="http://schemas.microsoft.com/office/drawing/2014/chart" uri="{C3380CC4-5D6E-409C-BE32-E72D297353CC}">
              <c16:uniqueId val="{00000001-5DE0-4098-B8BD-D89AFE3E4253}"/>
            </c:ext>
          </c:extLst>
        </c:ser>
        <c:ser>
          <c:idx val="2"/>
          <c:order val="2"/>
          <c:tx>
            <c:strRef>
              <c:f>Availability!$A$4</c:f>
              <c:strCache>
                <c:ptCount val="1"/>
                <c:pt idx="0">
                  <c:v>Sphere Brand</c:v>
                </c:pt>
              </c:strCache>
            </c:strRef>
          </c:tx>
          <c:spPr>
            <a:ln w="28575" cap="rnd">
              <a:solidFill>
                <a:srgbClr val="0070C0"/>
              </a:solidFill>
              <a:round/>
            </a:ln>
            <a:effectLst/>
          </c:spPr>
          <c:marker>
            <c:symbol val="none"/>
          </c:marker>
          <c:cat>
            <c:numRef>
              <c:f>Availability!$B$1:$IN$1</c:f>
              <c:numCache>
                <c:formatCode>m/d/yyyy</c:formatCode>
                <c:ptCount val="247"/>
                <c:pt idx="0">
                  <c:v>44253</c:v>
                </c:pt>
                <c:pt idx="1">
                  <c:v>44267</c:v>
                </c:pt>
                <c:pt idx="2">
                  <c:v>44281</c:v>
                </c:pt>
                <c:pt idx="3">
                  <c:v>44288</c:v>
                </c:pt>
                <c:pt idx="4">
                  <c:v>44295</c:v>
                </c:pt>
                <c:pt idx="5">
                  <c:v>44302</c:v>
                </c:pt>
                <c:pt idx="6">
                  <c:v>44309</c:v>
                </c:pt>
                <c:pt idx="7">
                  <c:v>44316</c:v>
                </c:pt>
                <c:pt idx="8">
                  <c:v>44323</c:v>
                </c:pt>
                <c:pt idx="9">
                  <c:v>44330</c:v>
                </c:pt>
                <c:pt idx="10">
                  <c:v>44337</c:v>
                </c:pt>
                <c:pt idx="11">
                  <c:v>44344</c:v>
                </c:pt>
                <c:pt idx="12">
                  <c:v>44351</c:v>
                </c:pt>
                <c:pt idx="13">
                  <c:v>44379</c:v>
                </c:pt>
                <c:pt idx="14">
                  <c:v>44386</c:v>
                </c:pt>
                <c:pt idx="15">
                  <c:v>44407</c:v>
                </c:pt>
                <c:pt idx="16">
                  <c:v>44414</c:v>
                </c:pt>
                <c:pt idx="17">
                  <c:v>44420</c:v>
                </c:pt>
                <c:pt idx="18">
                  <c:v>44427</c:v>
                </c:pt>
                <c:pt idx="19">
                  <c:v>44435</c:v>
                </c:pt>
                <c:pt idx="20">
                  <c:v>44441</c:v>
                </c:pt>
                <c:pt idx="21">
                  <c:v>44448</c:v>
                </c:pt>
                <c:pt idx="22">
                  <c:v>44456</c:v>
                </c:pt>
                <c:pt idx="23">
                  <c:v>44462</c:v>
                </c:pt>
                <c:pt idx="24">
                  <c:v>44476</c:v>
                </c:pt>
                <c:pt idx="25">
                  <c:v>44482</c:v>
                </c:pt>
                <c:pt idx="26">
                  <c:v>44490</c:v>
                </c:pt>
                <c:pt idx="27">
                  <c:v>44497</c:v>
                </c:pt>
                <c:pt idx="28">
                  <c:v>44504</c:v>
                </c:pt>
                <c:pt idx="29">
                  <c:v>44512</c:v>
                </c:pt>
                <c:pt idx="30">
                  <c:v>44519</c:v>
                </c:pt>
                <c:pt idx="31">
                  <c:v>44529</c:v>
                </c:pt>
                <c:pt idx="32">
                  <c:v>44533</c:v>
                </c:pt>
                <c:pt idx="33">
                  <c:v>44539</c:v>
                </c:pt>
                <c:pt idx="34">
                  <c:v>44546</c:v>
                </c:pt>
                <c:pt idx="35">
                  <c:v>44553</c:v>
                </c:pt>
                <c:pt idx="36">
                  <c:v>44560</c:v>
                </c:pt>
                <c:pt idx="37">
                  <c:v>44574</c:v>
                </c:pt>
                <c:pt idx="38">
                  <c:v>44581</c:v>
                </c:pt>
                <c:pt idx="39">
                  <c:v>44588</c:v>
                </c:pt>
                <c:pt idx="40">
                  <c:v>44595</c:v>
                </c:pt>
                <c:pt idx="41">
                  <c:v>44602</c:v>
                </c:pt>
                <c:pt idx="42">
                  <c:v>44609</c:v>
                </c:pt>
                <c:pt idx="43">
                  <c:v>44616</c:v>
                </c:pt>
                <c:pt idx="44">
                  <c:v>44622</c:v>
                </c:pt>
                <c:pt idx="45">
                  <c:v>44630</c:v>
                </c:pt>
                <c:pt idx="46">
                  <c:v>44637</c:v>
                </c:pt>
                <c:pt idx="47">
                  <c:v>44643</c:v>
                </c:pt>
                <c:pt idx="48">
                  <c:v>44651</c:v>
                </c:pt>
                <c:pt idx="49">
                  <c:v>44658</c:v>
                </c:pt>
                <c:pt idx="50">
                  <c:v>44665</c:v>
                </c:pt>
                <c:pt idx="51">
                  <c:v>44672</c:v>
                </c:pt>
                <c:pt idx="52">
                  <c:v>44679</c:v>
                </c:pt>
                <c:pt idx="53">
                  <c:v>44686</c:v>
                </c:pt>
                <c:pt idx="54">
                  <c:v>44693</c:v>
                </c:pt>
                <c:pt idx="55">
                  <c:v>44700</c:v>
                </c:pt>
                <c:pt idx="56">
                  <c:v>44707</c:v>
                </c:pt>
                <c:pt idx="57">
                  <c:v>44714</c:v>
                </c:pt>
                <c:pt idx="58">
                  <c:v>44728</c:v>
                </c:pt>
                <c:pt idx="59">
                  <c:v>44735</c:v>
                </c:pt>
                <c:pt idx="60">
                  <c:v>44742</c:v>
                </c:pt>
                <c:pt idx="61">
                  <c:v>44749</c:v>
                </c:pt>
                <c:pt idx="62">
                  <c:v>44763</c:v>
                </c:pt>
                <c:pt idx="63">
                  <c:v>44770</c:v>
                </c:pt>
                <c:pt idx="64">
                  <c:v>44777</c:v>
                </c:pt>
                <c:pt idx="65">
                  <c:v>44784</c:v>
                </c:pt>
                <c:pt idx="66">
                  <c:v>44791</c:v>
                </c:pt>
                <c:pt idx="67">
                  <c:v>44798</c:v>
                </c:pt>
                <c:pt idx="68">
                  <c:v>44805</c:v>
                </c:pt>
                <c:pt idx="69">
                  <c:v>44812</c:v>
                </c:pt>
                <c:pt idx="70">
                  <c:v>44819</c:v>
                </c:pt>
                <c:pt idx="71">
                  <c:v>44826</c:v>
                </c:pt>
                <c:pt idx="72">
                  <c:v>44840</c:v>
                </c:pt>
                <c:pt idx="73">
                  <c:v>44847</c:v>
                </c:pt>
                <c:pt idx="74">
                  <c:v>44854</c:v>
                </c:pt>
                <c:pt idx="75">
                  <c:v>44861</c:v>
                </c:pt>
                <c:pt idx="76">
                  <c:v>44868</c:v>
                </c:pt>
                <c:pt idx="77">
                  <c:v>44875</c:v>
                </c:pt>
                <c:pt idx="78">
                  <c:v>44882</c:v>
                </c:pt>
                <c:pt idx="79">
                  <c:v>44889</c:v>
                </c:pt>
                <c:pt idx="80">
                  <c:v>44896</c:v>
                </c:pt>
                <c:pt idx="81">
                  <c:v>44903</c:v>
                </c:pt>
                <c:pt idx="82">
                  <c:v>44910</c:v>
                </c:pt>
                <c:pt idx="83">
                  <c:v>44917</c:v>
                </c:pt>
                <c:pt idx="84">
                  <c:v>44924</c:v>
                </c:pt>
                <c:pt idx="85">
                  <c:v>44938</c:v>
                </c:pt>
                <c:pt idx="86">
                  <c:v>44945</c:v>
                </c:pt>
                <c:pt idx="87">
                  <c:v>44952</c:v>
                </c:pt>
                <c:pt idx="88">
                  <c:v>44959</c:v>
                </c:pt>
                <c:pt idx="89">
                  <c:v>44966</c:v>
                </c:pt>
                <c:pt idx="90">
                  <c:v>44973</c:v>
                </c:pt>
                <c:pt idx="91">
                  <c:v>44978</c:v>
                </c:pt>
                <c:pt idx="92">
                  <c:v>44987</c:v>
                </c:pt>
                <c:pt idx="93">
                  <c:v>44994</c:v>
                </c:pt>
                <c:pt idx="94">
                  <c:v>45001</c:v>
                </c:pt>
                <c:pt idx="95">
                  <c:v>45008</c:v>
                </c:pt>
                <c:pt idx="96">
                  <c:v>45015</c:v>
                </c:pt>
                <c:pt idx="97">
                  <c:v>45022</c:v>
                </c:pt>
                <c:pt idx="98">
                  <c:v>45029</c:v>
                </c:pt>
                <c:pt idx="99">
                  <c:v>45036</c:v>
                </c:pt>
                <c:pt idx="100">
                  <c:v>45043</c:v>
                </c:pt>
                <c:pt idx="101">
                  <c:v>45050</c:v>
                </c:pt>
                <c:pt idx="102">
                  <c:v>45057</c:v>
                </c:pt>
                <c:pt idx="103">
                  <c:v>45064</c:v>
                </c:pt>
                <c:pt idx="104">
                  <c:v>45071</c:v>
                </c:pt>
                <c:pt idx="105">
                  <c:v>45078</c:v>
                </c:pt>
                <c:pt idx="106">
                  <c:v>45085</c:v>
                </c:pt>
                <c:pt idx="107">
                  <c:v>45092</c:v>
                </c:pt>
                <c:pt idx="108">
                  <c:v>45099</c:v>
                </c:pt>
                <c:pt idx="109">
                  <c:v>45106</c:v>
                </c:pt>
                <c:pt idx="110">
                  <c:v>45113</c:v>
                </c:pt>
                <c:pt idx="111">
                  <c:v>45120</c:v>
                </c:pt>
                <c:pt idx="112">
                  <c:v>45127</c:v>
                </c:pt>
                <c:pt idx="113">
                  <c:v>45134</c:v>
                </c:pt>
                <c:pt idx="114">
                  <c:v>45141</c:v>
                </c:pt>
                <c:pt idx="115">
                  <c:v>45148</c:v>
                </c:pt>
                <c:pt idx="116">
                  <c:v>45155</c:v>
                </c:pt>
                <c:pt idx="117">
                  <c:v>45162</c:v>
                </c:pt>
                <c:pt idx="118">
                  <c:v>45169</c:v>
                </c:pt>
                <c:pt idx="119">
                  <c:v>45176</c:v>
                </c:pt>
                <c:pt idx="120">
                  <c:v>45183</c:v>
                </c:pt>
                <c:pt idx="121">
                  <c:v>45190</c:v>
                </c:pt>
                <c:pt idx="122">
                  <c:v>45197</c:v>
                </c:pt>
                <c:pt idx="123">
                  <c:v>45204</c:v>
                </c:pt>
                <c:pt idx="124">
                  <c:v>45211</c:v>
                </c:pt>
                <c:pt idx="125">
                  <c:v>45217</c:v>
                </c:pt>
                <c:pt idx="126">
                  <c:v>45225</c:v>
                </c:pt>
                <c:pt idx="127">
                  <c:v>45232</c:v>
                </c:pt>
                <c:pt idx="128">
                  <c:v>45239</c:v>
                </c:pt>
                <c:pt idx="129">
                  <c:v>45246</c:v>
                </c:pt>
                <c:pt idx="130">
                  <c:v>45253</c:v>
                </c:pt>
                <c:pt idx="131">
                  <c:v>45260</c:v>
                </c:pt>
                <c:pt idx="132">
                  <c:v>45267</c:v>
                </c:pt>
                <c:pt idx="133">
                  <c:v>45274</c:v>
                </c:pt>
                <c:pt idx="134">
                  <c:v>45281</c:v>
                </c:pt>
                <c:pt idx="135">
                  <c:v>45288</c:v>
                </c:pt>
                <c:pt idx="136">
                  <c:v>45302</c:v>
                </c:pt>
                <c:pt idx="137">
                  <c:v>45309</c:v>
                </c:pt>
                <c:pt idx="138">
                  <c:v>45316</c:v>
                </c:pt>
                <c:pt idx="139">
                  <c:v>45323</c:v>
                </c:pt>
                <c:pt idx="140">
                  <c:v>45330</c:v>
                </c:pt>
                <c:pt idx="141">
                  <c:v>45337</c:v>
                </c:pt>
                <c:pt idx="142">
                  <c:v>45344</c:v>
                </c:pt>
                <c:pt idx="143">
                  <c:v>45351</c:v>
                </c:pt>
                <c:pt idx="144">
                  <c:v>45358</c:v>
                </c:pt>
                <c:pt idx="145">
                  <c:v>45365</c:v>
                </c:pt>
                <c:pt idx="146">
                  <c:v>45372</c:v>
                </c:pt>
                <c:pt idx="147">
                  <c:v>45379</c:v>
                </c:pt>
                <c:pt idx="148">
                  <c:v>45386</c:v>
                </c:pt>
                <c:pt idx="149">
                  <c:v>45393</c:v>
                </c:pt>
                <c:pt idx="150">
                  <c:v>45400</c:v>
                </c:pt>
                <c:pt idx="151">
                  <c:v>45407</c:v>
                </c:pt>
                <c:pt idx="152">
                  <c:v>45414</c:v>
                </c:pt>
                <c:pt idx="153">
                  <c:v>45413</c:v>
                </c:pt>
                <c:pt idx="154">
                  <c:v>45428</c:v>
                </c:pt>
                <c:pt idx="155">
                  <c:v>45435</c:v>
                </c:pt>
                <c:pt idx="156">
                  <c:v>45442</c:v>
                </c:pt>
                <c:pt idx="157">
                  <c:v>45456</c:v>
                </c:pt>
                <c:pt idx="158">
                  <c:v>45463</c:v>
                </c:pt>
                <c:pt idx="159">
                  <c:v>45470</c:v>
                </c:pt>
                <c:pt idx="160">
                  <c:v>45477</c:v>
                </c:pt>
                <c:pt idx="161">
                  <c:v>45484</c:v>
                </c:pt>
                <c:pt idx="162">
                  <c:v>45491</c:v>
                </c:pt>
                <c:pt idx="163">
                  <c:v>45498</c:v>
                </c:pt>
                <c:pt idx="164">
                  <c:v>45505</c:v>
                </c:pt>
                <c:pt idx="165">
                  <c:v>45512</c:v>
                </c:pt>
                <c:pt idx="166">
                  <c:v>45519</c:v>
                </c:pt>
                <c:pt idx="167">
                  <c:v>45526</c:v>
                </c:pt>
                <c:pt idx="168">
                  <c:v>45533</c:v>
                </c:pt>
                <c:pt idx="169">
                  <c:v>45540</c:v>
                </c:pt>
                <c:pt idx="170">
                  <c:v>45547</c:v>
                </c:pt>
                <c:pt idx="171">
                  <c:v>45554</c:v>
                </c:pt>
                <c:pt idx="172">
                  <c:v>45561</c:v>
                </c:pt>
                <c:pt idx="173">
                  <c:v>45568</c:v>
                </c:pt>
                <c:pt idx="174">
                  <c:v>45575</c:v>
                </c:pt>
                <c:pt idx="175">
                  <c:v>45582</c:v>
                </c:pt>
                <c:pt idx="176">
                  <c:v>45589</c:v>
                </c:pt>
                <c:pt idx="177">
                  <c:v>45596</c:v>
                </c:pt>
                <c:pt idx="178">
                  <c:v>45603</c:v>
                </c:pt>
                <c:pt idx="179">
                  <c:v>45610</c:v>
                </c:pt>
                <c:pt idx="180">
                  <c:v>45617</c:v>
                </c:pt>
                <c:pt idx="181">
                  <c:v>45624</c:v>
                </c:pt>
                <c:pt idx="182">
                  <c:v>45631</c:v>
                </c:pt>
                <c:pt idx="183">
                  <c:v>45638</c:v>
                </c:pt>
                <c:pt idx="184">
                  <c:v>45645</c:v>
                </c:pt>
                <c:pt idx="185">
                  <c:v>45666</c:v>
                </c:pt>
                <c:pt idx="186">
                  <c:v>45673</c:v>
                </c:pt>
                <c:pt idx="187">
                  <c:v>45680</c:v>
                </c:pt>
                <c:pt idx="188">
                  <c:v>45687</c:v>
                </c:pt>
                <c:pt idx="189">
                  <c:v>45701</c:v>
                </c:pt>
                <c:pt idx="190">
                  <c:v>45708</c:v>
                </c:pt>
                <c:pt idx="191">
                  <c:v>45715</c:v>
                </c:pt>
                <c:pt idx="192">
                  <c:v>45722</c:v>
                </c:pt>
                <c:pt idx="193">
                  <c:v>45729</c:v>
                </c:pt>
                <c:pt idx="194">
                  <c:v>45736</c:v>
                </c:pt>
                <c:pt idx="195">
                  <c:v>45743</c:v>
                </c:pt>
                <c:pt idx="196">
                  <c:v>45750</c:v>
                </c:pt>
                <c:pt idx="197">
                  <c:v>45757</c:v>
                </c:pt>
                <c:pt idx="198">
                  <c:v>45764</c:v>
                </c:pt>
                <c:pt idx="199">
                  <c:v>45771</c:v>
                </c:pt>
                <c:pt idx="200">
                  <c:v>45792</c:v>
                </c:pt>
                <c:pt idx="201">
                  <c:v>45799</c:v>
                </c:pt>
                <c:pt idx="202">
                  <c:v>45806</c:v>
                </c:pt>
                <c:pt idx="203">
                  <c:v>45813</c:v>
                </c:pt>
                <c:pt idx="204">
                  <c:v>45841</c:v>
                </c:pt>
                <c:pt idx="205">
                  <c:v>45848</c:v>
                </c:pt>
                <c:pt idx="206">
                  <c:v>45855</c:v>
                </c:pt>
                <c:pt idx="207">
                  <c:v>45862</c:v>
                </c:pt>
                <c:pt idx="208">
                  <c:v>45869</c:v>
                </c:pt>
                <c:pt idx="209">
                  <c:v>45876</c:v>
                </c:pt>
                <c:pt idx="210">
                  <c:v>45883</c:v>
                </c:pt>
                <c:pt idx="211">
                  <c:v>45890</c:v>
                </c:pt>
                <c:pt idx="212">
                  <c:v>45897</c:v>
                </c:pt>
                <c:pt idx="213">
                  <c:v>45904</c:v>
                </c:pt>
                <c:pt idx="214">
                  <c:v>45925</c:v>
                </c:pt>
                <c:pt idx="215">
                  <c:v>45932</c:v>
                </c:pt>
                <c:pt idx="216">
                  <c:v>45939</c:v>
                </c:pt>
                <c:pt idx="217">
                  <c:v>45946</c:v>
                </c:pt>
                <c:pt idx="218">
                  <c:v>45953</c:v>
                </c:pt>
                <c:pt idx="219">
                  <c:v>45960</c:v>
                </c:pt>
                <c:pt idx="220">
                  <c:v>45967</c:v>
                </c:pt>
                <c:pt idx="221">
                  <c:v>45974</c:v>
                </c:pt>
                <c:pt idx="222">
                  <c:v>45981</c:v>
                </c:pt>
                <c:pt idx="223">
                  <c:v>45988</c:v>
                </c:pt>
                <c:pt idx="224">
                  <c:v>45995</c:v>
                </c:pt>
                <c:pt idx="225">
                  <c:v>46002</c:v>
                </c:pt>
                <c:pt idx="226">
                  <c:v>46009</c:v>
                </c:pt>
                <c:pt idx="227">
                  <c:v>46016</c:v>
                </c:pt>
                <c:pt idx="228">
                  <c:v>46038</c:v>
                </c:pt>
                <c:pt idx="229">
                  <c:v>46044</c:v>
                </c:pt>
                <c:pt idx="230">
                  <c:v>46051</c:v>
                </c:pt>
                <c:pt idx="231">
                  <c:v>46058</c:v>
                </c:pt>
                <c:pt idx="232">
                  <c:v>46065</c:v>
                </c:pt>
                <c:pt idx="233">
                  <c:v>46072</c:v>
                </c:pt>
                <c:pt idx="234">
                  <c:v>46079</c:v>
                </c:pt>
                <c:pt idx="235">
                  <c:v>46085</c:v>
                </c:pt>
                <c:pt idx="236">
                  <c:v>46100</c:v>
                </c:pt>
                <c:pt idx="237">
                  <c:v>46108</c:v>
                </c:pt>
                <c:pt idx="238">
                  <c:v>46114</c:v>
                </c:pt>
                <c:pt idx="239">
                  <c:v>46128</c:v>
                </c:pt>
                <c:pt idx="240">
                  <c:v>46135</c:v>
                </c:pt>
                <c:pt idx="241">
                  <c:v>46149</c:v>
                </c:pt>
                <c:pt idx="242">
                  <c:v>46192</c:v>
                </c:pt>
                <c:pt idx="243">
                  <c:v>46199</c:v>
                </c:pt>
                <c:pt idx="244">
                  <c:v>46205</c:v>
                </c:pt>
                <c:pt idx="245">
                  <c:v>46212</c:v>
                </c:pt>
              </c:numCache>
            </c:numRef>
          </c:cat>
          <c:val>
            <c:numRef>
              <c:f>Availability!$B$4:$IN$4</c:f>
              <c:numCache>
                <c:formatCode>0%</c:formatCode>
                <c:ptCount val="247"/>
                <c:pt idx="0">
                  <c:v>0.96799999999999997</c:v>
                </c:pt>
                <c:pt idx="1">
                  <c:v>0.97133333333333338</c:v>
                </c:pt>
                <c:pt idx="2">
                  <c:v>0.98186666666666678</c:v>
                </c:pt>
                <c:pt idx="3">
                  <c:v>0.97646666666666682</c:v>
                </c:pt>
                <c:pt idx="4">
                  <c:v>0.97840000000000005</c:v>
                </c:pt>
                <c:pt idx="5">
                  <c:v>0.97833333333333328</c:v>
                </c:pt>
                <c:pt idx="6">
                  <c:v>0.97</c:v>
                </c:pt>
                <c:pt idx="7">
                  <c:v>0.98206666666666664</c:v>
                </c:pt>
                <c:pt idx="8">
                  <c:v>0.97979999999999978</c:v>
                </c:pt>
                <c:pt idx="9">
                  <c:v>0.97673333333333345</c:v>
                </c:pt>
                <c:pt idx="10">
                  <c:v>0.9658000000000001</c:v>
                </c:pt>
                <c:pt idx="11">
                  <c:v>0.9612666666666666</c:v>
                </c:pt>
                <c:pt idx="12">
                  <c:v>0.95506666666666673</c:v>
                </c:pt>
                <c:pt idx="13">
                  <c:v>0.96906666666666663</c:v>
                </c:pt>
                <c:pt idx="14">
                  <c:v>0.98</c:v>
                </c:pt>
                <c:pt idx="15">
                  <c:v>0.98</c:v>
                </c:pt>
                <c:pt idx="16">
                  <c:v>0.98</c:v>
                </c:pt>
                <c:pt idx="17">
                  <c:v>0.97216666666666673</c:v>
                </c:pt>
                <c:pt idx="18">
                  <c:v>0.95708333333333329</c:v>
                </c:pt>
                <c:pt idx="19">
                  <c:v>0.96616666666666662</c:v>
                </c:pt>
                <c:pt idx="20">
                  <c:v>0.97612545416876595</c:v>
                </c:pt>
                <c:pt idx="21">
                  <c:v>0.97367701559425013</c:v>
                </c:pt>
                <c:pt idx="22">
                  <c:v>0.97699999999999998</c:v>
                </c:pt>
                <c:pt idx="23">
                  <c:v>0.97699999999999998</c:v>
                </c:pt>
                <c:pt idx="24">
                  <c:v>0.97199999999999998</c:v>
                </c:pt>
                <c:pt idx="25">
                  <c:v>0.97499999999999998</c:v>
                </c:pt>
                <c:pt idx="26">
                  <c:v>0.9732182170003707</c:v>
                </c:pt>
                <c:pt idx="27">
                  <c:v>0.97099999999999997</c:v>
                </c:pt>
                <c:pt idx="28">
                  <c:v>0.96399999999999997</c:v>
                </c:pt>
                <c:pt idx="29">
                  <c:v>0.95499999999999996</c:v>
                </c:pt>
                <c:pt idx="30">
                  <c:v>0.97599999999999998</c:v>
                </c:pt>
                <c:pt idx="31">
                  <c:v>0.98199999999999998</c:v>
                </c:pt>
                <c:pt idx="32">
                  <c:v>0.98599999999999999</c:v>
                </c:pt>
                <c:pt idx="33">
                  <c:v>0.98</c:v>
                </c:pt>
                <c:pt idx="34">
                  <c:v>0.97</c:v>
                </c:pt>
                <c:pt idx="35">
                  <c:v>0.96</c:v>
                </c:pt>
                <c:pt idx="36">
                  <c:v>0.98099999999999998</c:v>
                </c:pt>
                <c:pt idx="37">
                  <c:v>0.98799999999999999</c:v>
                </c:pt>
                <c:pt idx="38">
                  <c:v>0.98299999999999998</c:v>
                </c:pt>
                <c:pt idx="39">
                  <c:v>0.98299999999999998</c:v>
                </c:pt>
                <c:pt idx="40">
                  <c:v>0.97499999999999998</c:v>
                </c:pt>
                <c:pt idx="41">
                  <c:v>0.97</c:v>
                </c:pt>
                <c:pt idx="42">
                  <c:v>0.96599999999999997</c:v>
                </c:pt>
                <c:pt idx="43">
                  <c:v>0.95749246960844669</c:v>
                </c:pt>
                <c:pt idx="44">
                  <c:v>0.96383061954712501</c:v>
                </c:pt>
                <c:pt idx="45">
                  <c:v>0.93600000000000005</c:v>
                </c:pt>
                <c:pt idx="46">
                  <c:v>0.92214509070137507</c:v>
                </c:pt>
                <c:pt idx="47">
                  <c:v>0.91759104266636915</c:v>
                </c:pt>
                <c:pt idx="48">
                  <c:v>0.91186257418762251</c:v>
                </c:pt>
                <c:pt idx="49" formatCode="0.0%">
                  <c:v>0.90772027357267027</c:v>
                </c:pt>
                <c:pt idx="50" formatCode="0.0%">
                  <c:v>0.91250048661145255</c:v>
                </c:pt>
                <c:pt idx="51" formatCode="0.0%">
                  <c:v>0.91048986029803447</c:v>
                </c:pt>
                <c:pt idx="52" formatCode="0.0%">
                  <c:v>0.90900000000000003</c:v>
                </c:pt>
                <c:pt idx="53" formatCode="0.0%">
                  <c:v>0.90300000000000002</c:v>
                </c:pt>
                <c:pt idx="54" formatCode="0.0%">
                  <c:v>0.90600000000000003</c:v>
                </c:pt>
                <c:pt idx="55" formatCode="0.0%">
                  <c:v>0.96599999999999997</c:v>
                </c:pt>
                <c:pt idx="56" formatCode="0.0%">
                  <c:v>0.97299999999999998</c:v>
                </c:pt>
                <c:pt idx="57" formatCode="0.0%">
                  <c:v>0.96799999999999997</c:v>
                </c:pt>
                <c:pt idx="58" formatCode="0.0%">
                  <c:v>0.97599999999999998</c:v>
                </c:pt>
                <c:pt idx="59" formatCode="0.0%">
                  <c:v>0.96799999999999997</c:v>
                </c:pt>
                <c:pt idx="60" formatCode="0.0%">
                  <c:v>0.97099999999999997</c:v>
                </c:pt>
                <c:pt idx="61" formatCode="0.0%">
                  <c:v>0.96599999999999997</c:v>
                </c:pt>
                <c:pt idx="62" formatCode="0.0%">
                  <c:v>0.98199999999999998</c:v>
                </c:pt>
                <c:pt idx="63" formatCode="0.0%">
                  <c:v>0.98299999999999998</c:v>
                </c:pt>
                <c:pt idx="64" formatCode="0.0%">
                  <c:v>0.98299999999999998</c:v>
                </c:pt>
                <c:pt idx="65" formatCode="0.0%">
                  <c:v>0.98399999999999999</c:v>
                </c:pt>
                <c:pt idx="66" formatCode="0.0%">
                  <c:v>0.98199999999999998</c:v>
                </c:pt>
                <c:pt idx="67" formatCode="0.0%">
                  <c:v>0.99399999999999999</c:v>
                </c:pt>
                <c:pt idx="68" formatCode="0.0%">
                  <c:v>0.98899999999999999</c:v>
                </c:pt>
                <c:pt idx="69" formatCode="0.0%">
                  <c:v>0.98399999999999999</c:v>
                </c:pt>
                <c:pt idx="70" formatCode="0.0%">
                  <c:v>0.98299999999999998</c:v>
                </c:pt>
                <c:pt idx="71" formatCode="0.0%">
                  <c:v>0.98199999999999998</c:v>
                </c:pt>
                <c:pt idx="72" formatCode="0.0%">
                  <c:v>0.99</c:v>
                </c:pt>
                <c:pt idx="73" formatCode="0.0%">
                  <c:v>0.99399999999999999</c:v>
                </c:pt>
                <c:pt idx="74" formatCode="0.0%">
                  <c:v>0.99</c:v>
                </c:pt>
                <c:pt idx="75" formatCode="0.0%">
                  <c:v>0.98199999999999998</c:v>
                </c:pt>
                <c:pt idx="76" formatCode="0.0%">
                  <c:v>0.97599999999999998</c:v>
                </c:pt>
                <c:pt idx="77" formatCode="0.0%">
                  <c:v>0.95699999999999996</c:v>
                </c:pt>
                <c:pt idx="78" formatCode="0.0%">
                  <c:v>0.95299999999999996</c:v>
                </c:pt>
                <c:pt idx="79" formatCode="0.0%">
                  <c:v>0.98699999999999999</c:v>
                </c:pt>
                <c:pt idx="80" formatCode="0.0%">
                  <c:v>0.996</c:v>
                </c:pt>
                <c:pt idx="81" formatCode="0.0%">
                  <c:v>0.999</c:v>
                </c:pt>
                <c:pt idx="82" formatCode="0.0%">
                  <c:v>0.996</c:v>
                </c:pt>
                <c:pt idx="83" formatCode="0.0%">
                  <c:v>0.99199999999999999</c:v>
                </c:pt>
                <c:pt idx="84" formatCode="0.0%">
                  <c:v>0.98699999999999999</c:v>
                </c:pt>
                <c:pt idx="85" formatCode="0.0%">
                  <c:v>0.99199999999999999</c:v>
                </c:pt>
                <c:pt idx="86" formatCode="0.0%">
                  <c:v>0.99099999999999999</c:v>
                </c:pt>
                <c:pt idx="87" formatCode="0.0%">
                  <c:v>0.98399999999999999</c:v>
                </c:pt>
                <c:pt idx="88" formatCode="0.0%">
                  <c:v>0.98199999999999998</c:v>
                </c:pt>
                <c:pt idx="89" formatCode="0.0%">
                  <c:v>0.98199999999999998</c:v>
                </c:pt>
                <c:pt idx="90" formatCode="0.0%">
                  <c:v>0.97799999999999998</c:v>
                </c:pt>
                <c:pt idx="91" formatCode="0.0%">
                  <c:v>0.97399999999999998</c:v>
                </c:pt>
                <c:pt idx="92" formatCode="0.0%">
                  <c:v>0.98899999999999999</c:v>
                </c:pt>
                <c:pt idx="93" formatCode="0.0%">
                  <c:v>0.99</c:v>
                </c:pt>
                <c:pt idx="94" formatCode="0.0%">
                  <c:v>0.98099999999999998</c:v>
                </c:pt>
                <c:pt idx="95" formatCode="0.0%">
                  <c:v>0.98699999999999999</c:v>
                </c:pt>
                <c:pt idx="96" formatCode="0.0%">
                  <c:v>0.97799999999999998</c:v>
                </c:pt>
                <c:pt idx="97" formatCode="0.0%">
                  <c:v>0.95499999999999996</c:v>
                </c:pt>
                <c:pt idx="98" formatCode="0.0%">
                  <c:v>0.97499999999999998</c:v>
                </c:pt>
                <c:pt idx="99" formatCode="0.0%">
                  <c:v>0.95699999999999996</c:v>
                </c:pt>
                <c:pt idx="100" formatCode="0.0%">
                  <c:v>0.97099999999999997</c:v>
                </c:pt>
                <c:pt idx="101" formatCode="0.0%">
                  <c:v>0.96899999999999997</c:v>
                </c:pt>
                <c:pt idx="102" formatCode="0.0%">
                  <c:v>0.97</c:v>
                </c:pt>
                <c:pt idx="103" formatCode="0.0%">
                  <c:v>0.98</c:v>
                </c:pt>
                <c:pt idx="104" formatCode="0.0%">
                  <c:v>0.99</c:v>
                </c:pt>
                <c:pt idx="105" formatCode="0.0%">
                  <c:v>0.99199999999999999</c:v>
                </c:pt>
                <c:pt idx="106" formatCode="0.0%">
                  <c:v>0.98</c:v>
                </c:pt>
                <c:pt idx="107" formatCode="0.0%">
                  <c:v>0.97599999999999998</c:v>
                </c:pt>
                <c:pt idx="108" formatCode="0.0%">
                  <c:v>0.96199999999999997</c:v>
                </c:pt>
                <c:pt idx="109" formatCode="0.0%">
                  <c:v>0.93700000000000006</c:v>
                </c:pt>
                <c:pt idx="110" formatCode="0.0%">
                  <c:v>0.95299999999999996</c:v>
                </c:pt>
                <c:pt idx="111" formatCode="0.0%">
                  <c:v>0.94799999999999995</c:v>
                </c:pt>
                <c:pt idx="112" formatCode="0.0%">
                  <c:v>0.93899999999999995</c:v>
                </c:pt>
                <c:pt idx="113" formatCode="0.0%">
                  <c:v>0.94</c:v>
                </c:pt>
                <c:pt idx="114" formatCode="0.0%">
                  <c:v>0.94199999999999995</c:v>
                </c:pt>
                <c:pt idx="115" formatCode="0.0%">
                  <c:v>0.92200000000000004</c:v>
                </c:pt>
                <c:pt idx="116" formatCode="0.0%">
                  <c:v>0.92600000000000005</c:v>
                </c:pt>
                <c:pt idx="117" formatCode="0.0%">
                  <c:v>0.93500000000000005</c:v>
                </c:pt>
                <c:pt idx="118" formatCode="0.0%">
                  <c:v>0.94299999999999995</c:v>
                </c:pt>
                <c:pt idx="119" formatCode="0.0%">
                  <c:v>0.94099999999999995</c:v>
                </c:pt>
                <c:pt idx="120" formatCode="0.0%">
                  <c:v>0.92900000000000005</c:v>
                </c:pt>
                <c:pt idx="121" formatCode="0.0%">
                  <c:v>0.92700000000000005</c:v>
                </c:pt>
                <c:pt idx="122" formatCode="0.0%">
                  <c:v>0.92100000000000004</c:v>
                </c:pt>
                <c:pt idx="123" formatCode="0.0%">
                  <c:v>0.91600000000000004</c:v>
                </c:pt>
                <c:pt idx="124" formatCode="0.0%">
                  <c:v>0.93500000000000005</c:v>
                </c:pt>
                <c:pt idx="125" formatCode="0.0%">
                  <c:v>0.93</c:v>
                </c:pt>
                <c:pt idx="126" formatCode="0.0%">
                  <c:v>0.91300000000000003</c:v>
                </c:pt>
                <c:pt idx="127" formatCode="0.0%">
                  <c:v>0.92400000000000004</c:v>
                </c:pt>
                <c:pt idx="128" formatCode="0.0%">
                  <c:v>0.93</c:v>
                </c:pt>
                <c:pt idx="129" formatCode="0.0%">
                  <c:v>0.94</c:v>
                </c:pt>
                <c:pt idx="130" formatCode="0.0%">
                  <c:v>0.93700000000000006</c:v>
                </c:pt>
                <c:pt idx="131" formatCode="0.0%">
                  <c:v>0.92600000000000005</c:v>
                </c:pt>
                <c:pt idx="132" formatCode="0.0%">
                  <c:v>0.92800000000000005</c:v>
                </c:pt>
                <c:pt idx="133" formatCode="0.0%">
                  <c:v>0.92700000000000005</c:v>
                </c:pt>
                <c:pt idx="134" formatCode="0.0%">
                  <c:v>0.92700000000000005</c:v>
                </c:pt>
                <c:pt idx="135" formatCode="0.0%">
                  <c:v>0.92200000000000004</c:v>
                </c:pt>
                <c:pt idx="136" formatCode="0.0%">
                  <c:v>0.93799999999999994</c:v>
                </c:pt>
                <c:pt idx="137" formatCode="0.0%">
                  <c:v>0.92600000000000005</c:v>
                </c:pt>
                <c:pt idx="138" formatCode="0.0%">
                  <c:v>0.93100000000000005</c:v>
                </c:pt>
                <c:pt idx="139" formatCode="0.0%">
                  <c:v>0.93400000000000005</c:v>
                </c:pt>
                <c:pt idx="140" formatCode="0.0%">
                  <c:v>0.94699999999999995</c:v>
                </c:pt>
                <c:pt idx="141" formatCode="0.0%">
                  <c:v>0.96699999999999997</c:v>
                </c:pt>
                <c:pt idx="142" formatCode="0.0%">
                  <c:v>0.97299999999999998</c:v>
                </c:pt>
                <c:pt idx="143" formatCode="0.0%">
                  <c:v>0.95799999999999996</c:v>
                </c:pt>
                <c:pt idx="144" formatCode="0.0%">
                  <c:v>0.97399999999999998</c:v>
                </c:pt>
                <c:pt idx="145" formatCode="0.0%">
                  <c:v>0.95699999999999996</c:v>
                </c:pt>
                <c:pt idx="146" formatCode="0.0%">
                  <c:v>0.95899999999999996</c:v>
                </c:pt>
                <c:pt idx="147" formatCode="0.0%">
                  <c:v>0.96699999999999997</c:v>
                </c:pt>
                <c:pt idx="148" formatCode="0.0%">
                  <c:v>0.96599999999999997</c:v>
                </c:pt>
                <c:pt idx="149" formatCode="0.0%">
                  <c:v>0.96499999999999997</c:v>
                </c:pt>
                <c:pt idx="150" formatCode="0.0%">
                  <c:v>0.96299999999999997</c:v>
                </c:pt>
                <c:pt idx="151" formatCode="0.0%">
                  <c:v>0.96</c:v>
                </c:pt>
                <c:pt idx="152" formatCode="0.0%">
                  <c:v>0.96499999999999997</c:v>
                </c:pt>
                <c:pt idx="153" formatCode="0.0%">
                  <c:v>0.96499999999999997</c:v>
                </c:pt>
                <c:pt idx="154" formatCode="0.0%">
                  <c:v>0.97099999999999997</c:v>
                </c:pt>
                <c:pt idx="155" formatCode="0.0%">
                  <c:v>0.98499999999999999</c:v>
                </c:pt>
                <c:pt idx="156" formatCode="0.0%">
                  <c:v>0.99099999999999999</c:v>
                </c:pt>
                <c:pt idx="157" formatCode="0.0%">
                  <c:v>0.995</c:v>
                </c:pt>
                <c:pt idx="158" formatCode="0.0%">
                  <c:v>0.98599999999999999</c:v>
                </c:pt>
                <c:pt idx="159" formatCode="0.0%">
                  <c:v>0.98899999999999999</c:v>
                </c:pt>
                <c:pt idx="160" formatCode="0.0%">
                  <c:v>0.99199999999999999</c:v>
                </c:pt>
                <c:pt idx="161" formatCode="0.0%">
                  <c:v>0.98699999999999999</c:v>
                </c:pt>
                <c:pt idx="162" formatCode="0.0%">
                  <c:v>0.98699999999999999</c:v>
                </c:pt>
                <c:pt idx="163" formatCode="0.0%">
                  <c:v>0.98599999999999999</c:v>
                </c:pt>
                <c:pt idx="164" formatCode="0.0%">
                  <c:v>0.98799999999999999</c:v>
                </c:pt>
                <c:pt idx="165" formatCode="0.0%">
                  <c:v>0.98599999999999999</c:v>
                </c:pt>
                <c:pt idx="166" formatCode="0.0%">
                  <c:v>0.97899999999999998</c:v>
                </c:pt>
                <c:pt idx="167" formatCode="0.0%">
                  <c:v>0.97299999999999998</c:v>
                </c:pt>
                <c:pt idx="168" formatCode="0.0%">
                  <c:v>0.98799999999999999</c:v>
                </c:pt>
                <c:pt idx="169" formatCode="0.0%">
                  <c:v>0.997</c:v>
                </c:pt>
                <c:pt idx="170" formatCode="0.0%">
                  <c:v>0.99199999999999999</c:v>
                </c:pt>
                <c:pt idx="171" formatCode="0.0%">
                  <c:v>0.98899999999999999</c:v>
                </c:pt>
                <c:pt idx="172" formatCode="0.0%">
                  <c:v>0.98699999999999999</c:v>
                </c:pt>
                <c:pt idx="173" formatCode="0.0%">
                  <c:v>0.98799999999999999</c:v>
                </c:pt>
                <c:pt idx="174" formatCode="0.0%">
                  <c:v>0.98599999999999999</c:v>
                </c:pt>
                <c:pt idx="175" formatCode="0.0%">
                  <c:v>0.98099999999999998</c:v>
                </c:pt>
                <c:pt idx="176" formatCode="0.0%">
                  <c:v>0.97099999999999997</c:v>
                </c:pt>
                <c:pt idx="177" formatCode="0.0%">
                  <c:v>0.97899999999999998</c:v>
                </c:pt>
                <c:pt idx="178" formatCode="0.0%">
                  <c:v>0.98199999999999998</c:v>
                </c:pt>
                <c:pt idx="179" formatCode="0.0%">
                  <c:v>0.97799999999999998</c:v>
                </c:pt>
                <c:pt idx="180" formatCode="0.0%">
                  <c:v>0.96899999999999997</c:v>
                </c:pt>
                <c:pt idx="181" formatCode="0.0%">
                  <c:v>0.97899999999999998</c:v>
                </c:pt>
                <c:pt idx="182" formatCode="0.0%">
                  <c:v>0.99</c:v>
                </c:pt>
                <c:pt idx="183" formatCode="0.0%">
                  <c:v>0.99</c:v>
                </c:pt>
                <c:pt idx="184" formatCode="0.0%">
                  <c:v>0.98599999999999999</c:v>
                </c:pt>
                <c:pt idx="185" formatCode="0.0%">
                  <c:v>0.98599999999999999</c:v>
                </c:pt>
                <c:pt idx="186" formatCode="0.0%">
                  <c:v>0.97699999999999998</c:v>
                </c:pt>
                <c:pt idx="187" formatCode="0.0%">
                  <c:v>0.96799999999999997</c:v>
                </c:pt>
                <c:pt idx="188" formatCode="0.0%">
                  <c:v>0.96499999999999997</c:v>
                </c:pt>
                <c:pt idx="189" formatCode="0.0%">
                  <c:v>0.96699999999999997</c:v>
                </c:pt>
                <c:pt idx="190" formatCode="0.0%">
                  <c:v>0.96</c:v>
                </c:pt>
                <c:pt idx="191" formatCode="0.0%">
                  <c:v>0.98199999999999998</c:v>
                </c:pt>
                <c:pt idx="192" formatCode="0.0%">
                  <c:v>0.97699999999999998</c:v>
                </c:pt>
                <c:pt idx="193" formatCode="0.0%">
                  <c:v>0.98</c:v>
                </c:pt>
                <c:pt idx="194" formatCode="0.0%">
                  <c:v>0.97899999999999998</c:v>
                </c:pt>
                <c:pt idx="195" formatCode="0.0%">
                  <c:v>0.98899999999999999</c:v>
                </c:pt>
                <c:pt idx="196" formatCode="0.0%">
                  <c:v>0.98299999999999998</c:v>
                </c:pt>
                <c:pt idx="197" formatCode="0.0%">
                  <c:v>0.98699999999999999</c:v>
                </c:pt>
                <c:pt idx="198" formatCode="0.0%">
                  <c:v>0.97199999999999998</c:v>
                </c:pt>
                <c:pt idx="199" formatCode="0.0%">
                  <c:v>0.96099999999999997</c:v>
                </c:pt>
                <c:pt idx="200" formatCode="0.0%">
                  <c:v>0.95099999999999996</c:v>
                </c:pt>
                <c:pt idx="201" formatCode="0.0%">
                  <c:v>0.94899999999999995</c:v>
                </c:pt>
                <c:pt idx="202" formatCode="0.0%">
                  <c:v>0.95099999999999996</c:v>
                </c:pt>
                <c:pt idx="203" formatCode="0.0%">
                  <c:v>0.96699999999999997</c:v>
                </c:pt>
                <c:pt idx="204" formatCode="0.0%">
                  <c:v>0.96</c:v>
                </c:pt>
                <c:pt idx="205" formatCode="0.0%">
                  <c:v>0.94899999999999995</c:v>
                </c:pt>
                <c:pt idx="206" formatCode="0.0%">
                  <c:v>0.92500000000000004</c:v>
                </c:pt>
                <c:pt idx="207" formatCode="0.0%">
                  <c:v>0.91400000000000003</c:v>
                </c:pt>
                <c:pt idx="208" formatCode="0.0%">
                  <c:v>0.89500000000000002</c:v>
                </c:pt>
                <c:pt idx="209" formatCode="0.0%">
                  <c:v>0.93500000000000005</c:v>
                </c:pt>
                <c:pt idx="210" formatCode="0.0%">
                  <c:v>0.92800000000000005</c:v>
                </c:pt>
                <c:pt idx="211" formatCode="0.0%">
                  <c:v>0.90600000000000003</c:v>
                </c:pt>
                <c:pt idx="212" formatCode="0.0%">
                  <c:v>0.90200000000000002</c:v>
                </c:pt>
                <c:pt idx="213" formatCode="0.0%">
                  <c:v>0.91900000000000004</c:v>
                </c:pt>
                <c:pt idx="214" formatCode="0.0%">
                  <c:v>0.93799999999999994</c:v>
                </c:pt>
                <c:pt idx="215" formatCode="0.0%">
                  <c:v>0.95</c:v>
                </c:pt>
                <c:pt idx="216" formatCode="0.0%">
                  <c:v>0.93500000000000005</c:v>
                </c:pt>
                <c:pt idx="217" formatCode="0.0%">
                  <c:v>0.92700000000000005</c:v>
                </c:pt>
                <c:pt idx="218" formatCode="0.0%">
                  <c:v>0.91100000000000003</c:v>
                </c:pt>
                <c:pt idx="219" formatCode="0.0%">
                  <c:v>0.91800000000000004</c:v>
                </c:pt>
                <c:pt idx="220" formatCode="0.0%">
                  <c:v>0.91300000000000003</c:v>
                </c:pt>
                <c:pt idx="221" formatCode="0.0%">
                  <c:v>0.93300000000000005</c:v>
                </c:pt>
                <c:pt idx="222" formatCode="0.0%">
                  <c:v>0.93</c:v>
                </c:pt>
                <c:pt idx="223" formatCode="0.0%">
                  <c:v>0.94499999999999995</c:v>
                </c:pt>
                <c:pt idx="224" formatCode="0.0%">
                  <c:v>0.93600000000000005</c:v>
                </c:pt>
                <c:pt idx="225" formatCode="0.0%">
                  <c:v>0.93600000000000005</c:v>
                </c:pt>
                <c:pt idx="226" formatCode="0.0%">
                  <c:v>0.96299999999999997</c:v>
                </c:pt>
                <c:pt idx="227" formatCode="0.0%">
                  <c:v>0.96699999999999997</c:v>
                </c:pt>
                <c:pt idx="228" formatCode="0.0%">
                  <c:v>0.96099999999999997</c:v>
                </c:pt>
                <c:pt idx="229" formatCode="0.0%">
                  <c:v>0.94799999999999995</c:v>
                </c:pt>
                <c:pt idx="230" formatCode="0.0%">
                  <c:v>0.92800000000000005</c:v>
                </c:pt>
                <c:pt idx="231" formatCode="0.0%">
                  <c:v>0.94299999999999995</c:v>
                </c:pt>
                <c:pt idx="232" formatCode="0.0%">
                  <c:v>0.94899999999999995</c:v>
                </c:pt>
                <c:pt idx="233" formatCode="0.0%">
                  <c:v>0.96599999999999997</c:v>
                </c:pt>
                <c:pt idx="234" formatCode="0.0%">
                  <c:v>0.97</c:v>
                </c:pt>
                <c:pt idx="235" formatCode="0.0%">
                  <c:v>0.96899999999999997</c:v>
                </c:pt>
                <c:pt idx="236" formatCode="0.0%">
                  <c:v>0.97099999999999997</c:v>
                </c:pt>
                <c:pt idx="237" formatCode="0.0%">
                  <c:v>0.97</c:v>
                </c:pt>
                <c:pt idx="238" formatCode="0.0%">
                  <c:v>0.97099999999999997</c:v>
                </c:pt>
                <c:pt idx="239" formatCode="0.0%">
                  <c:v>0.97399999999999998</c:v>
                </c:pt>
                <c:pt idx="240" formatCode="0.0%">
                  <c:v>0.93799999999999994</c:v>
                </c:pt>
                <c:pt idx="241" formatCode="0.0%">
                  <c:v>0.91600000000000004</c:v>
                </c:pt>
                <c:pt idx="242" formatCode="0.0%">
                  <c:v>0.96599999999999997</c:v>
                </c:pt>
                <c:pt idx="243" formatCode="0.0%">
                  <c:v>0.96699999999999997</c:v>
                </c:pt>
                <c:pt idx="244" formatCode="0.0%">
                  <c:v>0.95799999999999996</c:v>
                </c:pt>
                <c:pt idx="245" formatCode="0.0%">
                  <c:v>0.98199999999999998</c:v>
                </c:pt>
              </c:numCache>
            </c:numRef>
          </c:val>
          <c:smooth val="1"/>
          <c:extLst>
            <c:ext xmlns:c16="http://schemas.microsoft.com/office/drawing/2014/chart" uri="{C3380CC4-5D6E-409C-BE32-E72D297353CC}">
              <c16:uniqueId val="{00000002-5DE0-4098-B8BD-D89AFE3E4253}"/>
            </c:ext>
          </c:extLst>
        </c:ser>
        <c:ser>
          <c:idx val="3"/>
          <c:order val="3"/>
          <c:tx>
            <c:strRef>
              <c:f>Availability!$A$5</c:f>
              <c:strCache>
                <c:ptCount val="1"/>
                <c:pt idx="0">
                  <c:v>Torics Brand</c:v>
                </c:pt>
              </c:strCache>
            </c:strRef>
          </c:tx>
          <c:spPr>
            <a:ln w="28575" cap="rnd">
              <a:solidFill>
                <a:schemeClr val="accent2"/>
              </a:solidFill>
              <a:round/>
            </a:ln>
            <a:effectLst/>
          </c:spPr>
          <c:marker>
            <c:symbol val="none"/>
          </c:marker>
          <c:cat>
            <c:numRef>
              <c:f>Availability!$B$1:$IN$1</c:f>
              <c:numCache>
                <c:formatCode>m/d/yyyy</c:formatCode>
                <c:ptCount val="247"/>
                <c:pt idx="0">
                  <c:v>44253</c:v>
                </c:pt>
                <c:pt idx="1">
                  <c:v>44267</c:v>
                </c:pt>
                <c:pt idx="2">
                  <c:v>44281</c:v>
                </c:pt>
                <c:pt idx="3">
                  <c:v>44288</c:v>
                </c:pt>
                <c:pt idx="4">
                  <c:v>44295</c:v>
                </c:pt>
                <c:pt idx="5">
                  <c:v>44302</c:v>
                </c:pt>
                <c:pt idx="6">
                  <c:v>44309</c:v>
                </c:pt>
                <c:pt idx="7">
                  <c:v>44316</c:v>
                </c:pt>
                <c:pt idx="8">
                  <c:v>44323</c:v>
                </c:pt>
                <c:pt idx="9">
                  <c:v>44330</c:v>
                </c:pt>
                <c:pt idx="10">
                  <c:v>44337</c:v>
                </c:pt>
                <c:pt idx="11">
                  <c:v>44344</c:v>
                </c:pt>
                <c:pt idx="12">
                  <c:v>44351</c:v>
                </c:pt>
                <c:pt idx="13">
                  <c:v>44379</c:v>
                </c:pt>
                <c:pt idx="14">
                  <c:v>44386</c:v>
                </c:pt>
                <c:pt idx="15">
                  <c:v>44407</c:v>
                </c:pt>
                <c:pt idx="16">
                  <c:v>44414</c:v>
                </c:pt>
                <c:pt idx="17">
                  <c:v>44420</c:v>
                </c:pt>
                <c:pt idx="18">
                  <c:v>44427</c:v>
                </c:pt>
                <c:pt idx="19">
                  <c:v>44435</c:v>
                </c:pt>
                <c:pt idx="20">
                  <c:v>44441</c:v>
                </c:pt>
                <c:pt idx="21">
                  <c:v>44448</c:v>
                </c:pt>
                <c:pt idx="22">
                  <c:v>44456</c:v>
                </c:pt>
                <c:pt idx="23">
                  <c:v>44462</c:v>
                </c:pt>
                <c:pt idx="24">
                  <c:v>44476</c:v>
                </c:pt>
                <c:pt idx="25">
                  <c:v>44482</c:v>
                </c:pt>
                <c:pt idx="26">
                  <c:v>44490</c:v>
                </c:pt>
                <c:pt idx="27">
                  <c:v>44497</c:v>
                </c:pt>
                <c:pt idx="28">
                  <c:v>44504</c:v>
                </c:pt>
                <c:pt idx="29">
                  <c:v>44512</c:v>
                </c:pt>
                <c:pt idx="30">
                  <c:v>44519</c:v>
                </c:pt>
                <c:pt idx="31">
                  <c:v>44529</c:v>
                </c:pt>
                <c:pt idx="32">
                  <c:v>44533</c:v>
                </c:pt>
                <c:pt idx="33">
                  <c:v>44539</c:v>
                </c:pt>
                <c:pt idx="34">
                  <c:v>44546</c:v>
                </c:pt>
                <c:pt idx="35">
                  <c:v>44553</c:v>
                </c:pt>
                <c:pt idx="36">
                  <c:v>44560</c:v>
                </c:pt>
                <c:pt idx="37">
                  <c:v>44574</c:v>
                </c:pt>
                <c:pt idx="38">
                  <c:v>44581</c:v>
                </c:pt>
                <c:pt idx="39">
                  <c:v>44588</c:v>
                </c:pt>
                <c:pt idx="40">
                  <c:v>44595</c:v>
                </c:pt>
                <c:pt idx="41">
                  <c:v>44602</c:v>
                </c:pt>
                <c:pt idx="42">
                  <c:v>44609</c:v>
                </c:pt>
                <c:pt idx="43">
                  <c:v>44616</c:v>
                </c:pt>
                <c:pt idx="44">
                  <c:v>44622</c:v>
                </c:pt>
                <c:pt idx="45">
                  <c:v>44630</c:v>
                </c:pt>
                <c:pt idx="46">
                  <c:v>44637</c:v>
                </c:pt>
                <c:pt idx="47">
                  <c:v>44643</c:v>
                </c:pt>
                <c:pt idx="48">
                  <c:v>44651</c:v>
                </c:pt>
                <c:pt idx="49">
                  <c:v>44658</c:v>
                </c:pt>
                <c:pt idx="50">
                  <c:v>44665</c:v>
                </c:pt>
                <c:pt idx="51">
                  <c:v>44672</c:v>
                </c:pt>
                <c:pt idx="52">
                  <c:v>44679</c:v>
                </c:pt>
                <c:pt idx="53">
                  <c:v>44686</c:v>
                </c:pt>
                <c:pt idx="54">
                  <c:v>44693</c:v>
                </c:pt>
                <c:pt idx="55">
                  <c:v>44700</c:v>
                </c:pt>
                <c:pt idx="56">
                  <c:v>44707</c:v>
                </c:pt>
                <c:pt idx="57">
                  <c:v>44714</c:v>
                </c:pt>
                <c:pt idx="58">
                  <c:v>44728</c:v>
                </c:pt>
                <c:pt idx="59">
                  <c:v>44735</c:v>
                </c:pt>
                <c:pt idx="60">
                  <c:v>44742</c:v>
                </c:pt>
                <c:pt idx="61">
                  <c:v>44749</c:v>
                </c:pt>
                <c:pt idx="62">
                  <c:v>44763</c:v>
                </c:pt>
                <c:pt idx="63">
                  <c:v>44770</c:v>
                </c:pt>
                <c:pt idx="64">
                  <c:v>44777</c:v>
                </c:pt>
                <c:pt idx="65">
                  <c:v>44784</c:v>
                </c:pt>
                <c:pt idx="66">
                  <c:v>44791</c:v>
                </c:pt>
                <c:pt idx="67">
                  <c:v>44798</c:v>
                </c:pt>
                <c:pt idx="68">
                  <c:v>44805</c:v>
                </c:pt>
                <c:pt idx="69">
                  <c:v>44812</c:v>
                </c:pt>
                <c:pt idx="70">
                  <c:v>44819</c:v>
                </c:pt>
                <c:pt idx="71">
                  <c:v>44826</c:v>
                </c:pt>
                <c:pt idx="72">
                  <c:v>44840</c:v>
                </c:pt>
                <c:pt idx="73">
                  <c:v>44847</c:v>
                </c:pt>
                <c:pt idx="74">
                  <c:v>44854</c:v>
                </c:pt>
                <c:pt idx="75">
                  <c:v>44861</c:v>
                </c:pt>
                <c:pt idx="76">
                  <c:v>44868</c:v>
                </c:pt>
                <c:pt idx="77">
                  <c:v>44875</c:v>
                </c:pt>
                <c:pt idx="78">
                  <c:v>44882</c:v>
                </c:pt>
                <c:pt idx="79">
                  <c:v>44889</c:v>
                </c:pt>
                <c:pt idx="80">
                  <c:v>44896</c:v>
                </c:pt>
                <c:pt idx="81">
                  <c:v>44903</c:v>
                </c:pt>
                <c:pt idx="82">
                  <c:v>44910</c:v>
                </c:pt>
                <c:pt idx="83">
                  <c:v>44917</c:v>
                </c:pt>
                <c:pt idx="84">
                  <c:v>44924</c:v>
                </c:pt>
                <c:pt idx="85">
                  <c:v>44938</c:v>
                </c:pt>
                <c:pt idx="86">
                  <c:v>44945</c:v>
                </c:pt>
                <c:pt idx="87">
                  <c:v>44952</c:v>
                </c:pt>
                <c:pt idx="88">
                  <c:v>44959</c:v>
                </c:pt>
                <c:pt idx="89">
                  <c:v>44966</c:v>
                </c:pt>
                <c:pt idx="90">
                  <c:v>44973</c:v>
                </c:pt>
                <c:pt idx="91">
                  <c:v>44978</c:v>
                </c:pt>
                <c:pt idx="92">
                  <c:v>44987</c:v>
                </c:pt>
                <c:pt idx="93">
                  <c:v>44994</c:v>
                </c:pt>
                <c:pt idx="94">
                  <c:v>45001</c:v>
                </c:pt>
                <c:pt idx="95">
                  <c:v>45008</c:v>
                </c:pt>
                <c:pt idx="96">
                  <c:v>45015</c:v>
                </c:pt>
                <c:pt idx="97">
                  <c:v>45022</c:v>
                </c:pt>
                <c:pt idx="98">
                  <c:v>45029</c:v>
                </c:pt>
                <c:pt idx="99">
                  <c:v>45036</c:v>
                </c:pt>
                <c:pt idx="100">
                  <c:v>45043</c:v>
                </c:pt>
                <c:pt idx="101">
                  <c:v>45050</c:v>
                </c:pt>
                <c:pt idx="102">
                  <c:v>45057</c:v>
                </c:pt>
                <c:pt idx="103">
                  <c:v>45064</c:v>
                </c:pt>
                <c:pt idx="104">
                  <c:v>45071</c:v>
                </c:pt>
                <c:pt idx="105">
                  <c:v>45078</c:v>
                </c:pt>
                <c:pt idx="106">
                  <c:v>45085</c:v>
                </c:pt>
                <c:pt idx="107">
                  <c:v>45092</c:v>
                </c:pt>
                <c:pt idx="108">
                  <c:v>45099</c:v>
                </c:pt>
                <c:pt idx="109">
                  <c:v>45106</c:v>
                </c:pt>
                <c:pt idx="110">
                  <c:v>45113</c:v>
                </c:pt>
                <c:pt idx="111">
                  <c:v>45120</c:v>
                </c:pt>
                <c:pt idx="112">
                  <c:v>45127</c:v>
                </c:pt>
                <c:pt idx="113">
                  <c:v>45134</c:v>
                </c:pt>
                <c:pt idx="114">
                  <c:v>45141</c:v>
                </c:pt>
                <c:pt idx="115">
                  <c:v>45148</c:v>
                </c:pt>
                <c:pt idx="116">
                  <c:v>45155</c:v>
                </c:pt>
                <c:pt idx="117">
                  <c:v>45162</c:v>
                </c:pt>
                <c:pt idx="118">
                  <c:v>45169</c:v>
                </c:pt>
                <c:pt idx="119">
                  <c:v>45176</c:v>
                </c:pt>
                <c:pt idx="120">
                  <c:v>45183</c:v>
                </c:pt>
                <c:pt idx="121">
                  <c:v>45190</c:v>
                </c:pt>
                <c:pt idx="122">
                  <c:v>45197</c:v>
                </c:pt>
                <c:pt idx="123">
                  <c:v>45204</c:v>
                </c:pt>
                <c:pt idx="124">
                  <c:v>45211</c:v>
                </c:pt>
                <c:pt idx="125">
                  <c:v>45217</c:v>
                </c:pt>
                <c:pt idx="126">
                  <c:v>45225</c:v>
                </c:pt>
                <c:pt idx="127">
                  <c:v>45232</c:v>
                </c:pt>
                <c:pt idx="128">
                  <c:v>45239</c:v>
                </c:pt>
                <c:pt idx="129">
                  <c:v>45246</c:v>
                </c:pt>
                <c:pt idx="130">
                  <c:v>45253</c:v>
                </c:pt>
                <c:pt idx="131">
                  <c:v>45260</c:v>
                </c:pt>
                <c:pt idx="132">
                  <c:v>45267</c:v>
                </c:pt>
                <c:pt idx="133">
                  <c:v>45274</c:v>
                </c:pt>
                <c:pt idx="134">
                  <c:v>45281</c:v>
                </c:pt>
                <c:pt idx="135">
                  <c:v>45288</c:v>
                </c:pt>
                <c:pt idx="136">
                  <c:v>45302</c:v>
                </c:pt>
                <c:pt idx="137">
                  <c:v>45309</c:v>
                </c:pt>
                <c:pt idx="138">
                  <c:v>45316</c:v>
                </c:pt>
                <c:pt idx="139">
                  <c:v>45323</c:v>
                </c:pt>
                <c:pt idx="140">
                  <c:v>45330</c:v>
                </c:pt>
                <c:pt idx="141">
                  <c:v>45337</c:v>
                </c:pt>
                <c:pt idx="142">
                  <c:v>45344</c:v>
                </c:pt>
                <c:pt idx="143">
                  <c:v>45351</c:v>
                </c:pt>
                <c:pt idx="144">
                  <c:v>45358</c:v>
                </c:pt>
                <c:pt idx="145">
                  <c:v>45365</c:v>
                </c:pt>
                <c:pt idx="146">
                  <c:v>45372</c:v>
                </c:pt>
                <c:pt idx="147">
                  <c:v>45379</c:v>
                </c:pt>
                <c:pt idx="148">
                  <c:v>45386</c:v>
                </c:pt>
                <c:pt idx="149">
                  <c:v>45393</c:v>
                </c:pt>
                <c:pt idx="150">
                  <c:v>45400</c:v>
                </c:pt>
                <c:pt idx="151">
                  <c:v>45407</c:v>
                </c:pt>
                <c:pt idx="152">
                  <c:v>45414</c:v>
                </c:pt>
                <c:pt idx="153">
                  <c:v>45413</c:v>
                </c:pt>
                <c:pt idx="154">
                  <c:v>45428</c:v>
                </c:pt>
                <c:pt idx="155">
                  <c:v>45435</c:v>
                </c:pt>
                <c:pt idx="156">
                  <c:v>45442</c:v>
                </c:pt>
                <c:pt idx="157">
                  <c:v>45456</c:v>
                </c:pt>
                <c:pt idx="158">
                  <c:v>45463</c:v>
                </c:pt>
                <c:pt idx="159">
                  <c:v>45470</c:v>
                </c:pt>
                <c:pt idx="160">
                  <c:v>45477</c:v>
                </c:pt>
                <c:pt idx="161">
                  <c:v>45484</c:v>
                </c:pt>
                <c:pt idx="162">
                  <c:v>45491</c:v>
                </c:pt>
                <c:pt idx="163">
                  <c:v>45498</c:v>
                </c:pt>
                <c:pt idx="164">
                  <c:v>45505</c:v>
                </c:pt>
                <c:pt idx="165">
                  <c:v>45512</c:v>
                </c:pt>
                <c:pt idx="166">
                  <c:v>45519</c:v>
                </c:pt>
                <c:pt idx="167">
                  <c:v>45526</c:v>
                </c:pt>
                <c:pt idx="168">
                  <c:v>45533</c:v>
                </c:pt>
                <c:pt idx="169">
                  <c:v>45540</c:v>
                </c:pt>
                <c:pt idx="170">
                  <c:v>45547</c:v>
                </c:pt>
                <c:pt idx="171">
                  <c:v>45554</c:v>
                </c:pt>
                <c:pt idx="172">
                  <c:v>45561</c:v>
                </c:pt>
                <c:pt idx="173">
                  <c:v>45568</c:v>
                </c:pt>
                <c:pt idx="174">
                  <c:v>45575</c:v>
                </c:pt>
                <c:pt idx="175">
                  <c:v>45582</c:v>
                </c:pt>
                <c:pt idx="176">
                  <c:v>45589</c:v>
                </c:pt>
                <c:pt idx="177">
                  <c:v>45596</c:v>
                </c:pt>
                <c:pt idx="178">
                  <c:v>45603</c:v>
                </c:pt>
                <c:pt idx="179">
                  <c:v>45610</c:v>
                </c:pt>
                <c:pt idx="180">
                  <c:v>45617</c:v>
                </c:pt>
                <c:pt idx="181">
                  <c:v>45624</c:v>
                </c:pt>
                <c:pt idx="182">
                  <c:v>45631</c:v>
                </c:pt>
                <c:pt idx="183">
                  <c:v>45638</c:v>
                </c:pt>
                <c:pt idx="184">
                  <c:v>45645</c:v>
                </c:pt>
                <c:pt idx="185">
                  <c:v>45666</c:v>
                </c:pt>
                <c:pt idx="186">
                  <c:v>45673</c:v>
                </c:pt>
                <c:pt idx="187">
                  <c:v>45680</c:v>
                </c:pt>
                <c:pt idx="188">
                  <c:v>45687</c:v>
                </c:pt>
                <c:pt idx="189">
                  <c:v>45701</c:v>
                </c:pt>
                <c:pt idx="190">
                  <c:v>45708</c:v>
                </c:pt>
                <c:pt idx="191">
                  <c:v>45715</c:v>
                </c:pt>
                <c:pt idx="192">
                  <c:v>45722</c:v>
                </c:pt>
                <c:pt idx="193">
                  <c:v>45729</c:v>
                </c:pt>
                <c:pt idx="194">
                  <c:v>45736</c:v>
                </c:pt>
                <c:pt idx="195">
                  <c:v>45743</c:v>
                </c:pt>
                <c:pt idx="196">
                  <c:v>45750</c:v>
                </c:pt>
                <c:pt idx="197">
                  <c:v>45757</c:v>
                </c:pt>
                <c:pt idx="198">
                  <c:v>45764</c:v>
                </c:pt>
                <c:pt idx="199">
                  <c:v>45771</c:v>
                </c:pt>
                <c:pt idx="200">
                  <c:v>45792</c:v>
                </c:pt>
                <c:pt idx="201">
                  <c:v>45799</c:v>
                </c:pt>
                <c:pt idx="202">
                  <c:v>45806</c:v>
                </c:pt>
                <c:pt idx="203">
                  <c:v>45813</c:v>
                </c:pt>
                <c:pt idx="204">
                  <c:v>45841</c:v>
                </c:pt>
                <c:pt idx="205">
                  <c:v>45848</c:v>
                </c:pt>
                <c:pt idx="206">
                  <c:v>45855</c:v>
                </c:pt>
                <c:pt idx="207">
                  <c:v>45862</c:v>
                </c:pt>
                <c:pt idx="208">
                  <c:v>45869</c:v>
                </c:pt>
                <c:pt idx="209">
                  <c:v>45876</c:v>
                </c:pt>
                <c:pt idx="210">
                  <c:v>45883</c:v>
                </c:pt>
                <c:pt idx="211">
                  <c:v>45890</c:v>
                </c:pt>
                <c:pt idx="212">
                  <c:v>45897</c:v>
                </c:pt>
                <c:pt idx="213">
                  <c:v>45904</c:v>
                </c:pt>
                <c:pt idx="214">
                  <c:v>45925</c:v>
                </c:pt>
                <c:pt idx="215">
                  <c:v>45932</c:v>
                </c:pt>
                <c:pt idx="216">
                  <c:v>45939</c:v>
                </c:pt>
                <c:pt idx="217">
                  <c:v>45946</c:v>
                </c:pt>
                <c:pt idx="218">
                  <c:v>45953</c:v>
                </c:pt>
                <c:pt idx="219">
                  <c:v>45960</c:v>
                </c:pt>
                <c:pt idx="220">
                  <c:v>45967</c:v>
                </c:pt>
                <c:pt idx="221">
                  <c:v>45974</c:v>
                </c:pt>
                <c:pt idx="222">
                  <c:v>45981</c:v>
                </c:pt>
                <c:pt idx="223">
                  <c:v>45988</c:v>
                </c:pt>
                <c:pt idx="224">
                  <c:v>45995</c:v>
                </c:pt>
                <c:pt idx="225">
                  <c:v>46002</c:v>
                </c:pt>
                <c:pt idx="226">
                  <c:v>46009</c:v>
                </c:pt>
                <c:pt idx="227">
                  <c:v>46016</c:v>
                </c:pt>
                <c:pt idx="228">
                  <c:v>46038</c:v>
                </c:pt>
                <c:pt idx="229">
                  <c:v>46044</c:v>
                </c:pt>
                <c:pt idx="230">
                  <c:v>46051</c:v>
                </c:pt>
                <c:pt idx="231">
                  <c:v>46058</c:v>
                </c:pt>
                <c:pt idx="232">
                  <c:v>46065</c:v>
                </c:pt>
                <c:pt idx="233">
                  <c:v>46072</c:v>
                </c:pt>
                <c:pt idx="234">
                  <c:v>46079</c:v>
                </c:pt>
                <c:pt idx="235">
                  <c:v>46085</c:v>
                </c:pt>
                <c:pt idx="236">
                  <c:v>46100</c:v>
                </c:pt>
                <c:pt idx="237">
                  <c:v>46108</c:v>
                </c:pt>
                <c:pt idx="238">
                  <c:v>46114</c:v>
                </c:pt>
                <c:pt idx="239">
                  <c:v>46128</c:v>
                </c:pt>
                <c:pt idx="240">
                  <c:v>46135</c:v>
                </c:pt>
                <c:pt idx="241">
                  <c:v>46149</c:v>
                </c:pt>
                <c:pt idx="242">
                  <c:v>46192</c:v>
                </c:pt>
                <c:pt idx="243">
                  <c:v>46199</c:v>
                </c:pt>
                <c:pt idx="244">
                  <c:v>46205</c:v>
                </c:pt>
                <c:pt idx="245">
                  <c:v>46212</c:v>
                </c:pt>
              </c:numCache>
            </c:numRef>
          </c:cat>
          <c:val>
            <c:numRef>
              <c:f>Availability!$B$5:$IN$5</c:f>
              <c:numCache>
                <c:formatCode>0%</c:formatCode>
                <c:ptCount val="247"/>
                <c:pt idx="0">
                  <c:v>0.94040000000000001</c:v>
                </c:pt>
                <c:pt idx="1">
                  <c:v>0.9423999999999999</c:v>
                </c:pt>
                <c:pt idx="2">
                  <c:v>0.93499999999999994</c:v>
                </c:pt>
                <c:pt idx="3">
                  <c:v>0.93740000000000001</c:v>
                </c:pt>
                <c:pt idx="4">
                  <c:v>0.93585999999999991</c:v>
                </c:pt>
                <c:pt idx="5">
                  <c:v>0.92080000000000006</c:v>
                </c:pt>
                <c:pt idx="6">
                  <c:v>0.91</c:v>
                </c:pt>
                <c:pt idx="7">
                  <c:v>0.91379999999999995</c:v>
                </c:pt>
                <c:pt idx="8">
                  <c:v>0.93159999999999987</c:v>
                </c:pt>
                <c:pt idx="9">
                  <c:v>0.92859999999999998</c:v>
                </c:pt>
                <c:pt idx="10">
                  <c:v>0.94279999999999986</c:v>
                </c:pt>
                <c:pt idx="11">
                  <c:v>0.94279999999999986</c:v>
                </c:pt>
                <c:pt idx="12">
                  <c:v>0.94259999999999999</c:v>
                </c:pt>
                <c:pt idx="13">
                  <c:v>0.96599999999999997</c:v>
                </c:pt>
                <c:pt idx="14">
                  <c:v>0.97</c:v>
                </c:pt>
                <c:pt idx="15">
                  <c:v>0.96</c:v>
                </c:pt>
                <c:pt idx="16">
                  <c:v>0.96</c:v>
                </c:pt>
                <c:pt idx="17">
                  <c:v>0.94400000000000006</c:v>
                </c:pt>
                <c:pt idx="18">
                  <c:v>0.92866666666666664</c:v>
                </c:pt>
                <c:pt idx="19">
                  <c:v>0.93533333333333335</c:v>
                </c:pt>
                <c:pt idx="20">
                  <c:v>0.93352918429219478</c:v>
                </c:pt>
                <c:pt idx="21">
                  <c:v>0.95075660868727352</c:v>
                </c:pt>
                <c:pt idx="22">
                  <c:v>0.96199999999999997</c:v>
                </c:pt>
                <c:pt idx="23">
                  <c:v>0.96199999999999997</c:v>
                </c:pt>
                <c:pt idx="24">
                  <c:v>0.97299999999999998</c:v>
                </c:pt>
                <c:pt idx="25">
                  <c:v>0.97399999999999998</c:v>
                </c:pt>
                <c:pt idx="26">
                  <c:v>0.97164273653753941</c:v>
                </c:pt>
                <c:pt idx="27">
                  <c:v>0.96199999999999997</c:v>
                </c:pt>
                <c:pt idx="28">
                  <c:v>0.96799999999999997</c:v>
                </c:pt>
                <c:pt idx="29">
                  <c:v>0.96799999999999997</c:v>
                </c:pt>
                <c:pt idx="30">
                  <c:v>0.97099999999999997</c:v>
                </c:pt>
                <c:pt idx="31">
                  <c:v>0.97</c:v>
                </c:pt>
                <c:pt idx="32">
                  <c:v>0.97299999999999998</c:v>
                </c:pt>
                <c:pt idx="33">
                  <c:v>0.95699999999999996</c:v>
                </c:pt>
                <c:pt idx="34">
                  <c:v>0.94099999999999995</c:v>
                </c:pt>
                <c:pt idx="35">
                  <c:v>0.93400000000000005</c:v>
                </c:pt>
                <c:pt idx="36">
                  <c:v>0.96799999999999997</c:v>
                </c:pt>
                <c:pt idx="37">
                  <c:v>0.97099999999999997</c:v>
                </c:pt>
                <c:pt idx="38">
                  <c:v>0.96499999999999997</c:v>
                </c:pt>
                <c:pt idx="39">
                  <c:v>0.96</c:v>
                </c:pt>
                <c:pt idx="40">
                  <c:v>0.94699999999999995</c:v>
                </c:pt>
                <c:pt idx="41">
                  <c:v>0.95</c:v>
                </c:pt>
                <c:pt idx="42">
                  <c:v>0.95199999999999996</c:v>
                </c:pt>
                <c:pt idx="43">
                  <c:v>0.95831379612276724</c:v>
                </c:pt>
                <c:pt idx="44">
                  <c:v>0.95077561527672583</c:v>
                </c:pt>
                <c:pt idx="45">
                  <c:v>0.92200000000000004</c:v>
                </c:pt>
                <c:pt idx="46">
                  <c:v>0.91181482532370117</c:v>
                </c:pt>
                <c:pt idx="47">
                  <c:v>0.92716025988186901</c:v>
                </c:pt>
                <c:pt idx="48">
                  <c:v>0.93020613325410528</c:v>
                </c:pt>
                <c:pt idx="49" formatCode="0.0%">
                  <c:v>0.93810327380224268</c:v>
                </c:pt>
                <c:pt idx="50" formatCode="0.0%">
                  <c:v>0.9190906682330785</c:v>
                </c:pt>
                <c:pt idx="51" formatCode="0.0%">
                  <c:v>0.90363927838305724</c:v>
                </c:pt>
                <c:pt idx="52" formatCode="0.0%">
                  <c:v>0.90700000000000003</c:v>
                </c:pt>
                <c:pt idx="53" formatCode="0.0%">
                  <c:v>0.90800000000000003</c:v>
                </c:pt>
                <c:pt idx="54" formatCode="0.0%">
                  <c:v>0.90300000000000002</c:v>
                </c:pt>
                <c:pt idx="55" formatCode="0.0%">
                  <c:v>0.93899999999999995</c:v>
                </c:pt>
                <c:pt idx="56" formatCode="0.0%">
                  <c:v>0.94</c:v>
                </c:pt>
                <c:pt idx="57" formatCode="0.0%">
                  <c:v>0.94499999999999995</c:v>
                </c:pt>
                <c:pt idx="58" formatCode="0.0%">
                  <c:v>0.96099999999999997</c:v>
                </c:pt>
                <c:pt idx="59" formatCode="0.0%">
                  <c:v>0.95799999999999996</c:v>
                </c:pt>
                <c:pt idx="60" formatCode="0.0%">
                  <c:v>0.96099999999999997</c:v>
                </c:pt>
                <c:pt idx="61" formatCode="0.0%">
                  <c:v>0.95899999999999996</c:v>
                </c:pt>
                <c:pt idx="62" formatCode="0.0%">
                  <c:v>0.96599999999999997</c:v>
                </c:pt>
                <c:pt idx="63" formatCode="0.0%">
                  <c:v>0.96799999999999997</c:v>
                </c:pt>
                <c:pt idx="64" formatCode="0.0%">
                  <c:v>0.97799999999999998</c:v>
                </c:pt>
                <c:pt idx="65" formatCode="0.0%">
                  <c:v>0.97499999999999998</c:v>
                </c:pt>
                <c:pt idx="66" formatCode="0.0%">
                  <c:v>0.97299999999999998</c:v>
                </c:pt>
                <c:pt idx="67" formatCode="0.0%">
                  <c:v>0.97299999999999998</c:v>
                </c:pt>
                <c:pt idx="68" formatCode="0.0%">
                  <c:v>0.96599999999999997</c:v>
                </c:pt>
                <c:pt idx="69" formatCode="0.0%">
                  <c:v>0.95299999999999996</c:v>
                </c:pt>
                <c:pt idx="70" formatCode="0.0%">
                  <c:v>0.95</c:v>
                </c:pt>
                <c:pt idx="71" formatCode="0.0%">
                  <c:v>0.95699999999999996</c:v>
                </c:pt>
                <c:pt idx="72" formatCode="0.0%">
                  <c:v>0.96399999999999997</c:v>
                </c:pt>
                <c:pt idx="73" formatCode="0.0%">
                  <c:v>0.95499999999999996</c:v>
                </c:pt>
                <c:pt idx="74" formatCode="0.0%">
                  <c:v>0.95099999999999996</c:v>
                </c:pt>
                <c:pt idx="75" formatCode="0.0%">
                  <c:v>0.96899999999999997</c:v>
                </c:pt>
                <c:pt idx="76" formatCode="0.0%">
                  <c:v>0.96899999999999997</c:v>
                </c:pt>
                <c:pt idx="77" formatCode="0.0%">
                  <c:v>0.96899999999999997</c:v>
                </c:pt>
                <c:pt idx="78" formatCode="0.0%">
                  <c:v>0.95099999999999996</c:v>
                </c:pt>
                <c:pt idx="79" formatCode="0.0%">
                  <c:v>0.94199999999999995</c:v>
                </c:pt>
                <c:pt idx="80" formatCode="0.0%">
                  <c:v>0.94299999999999995</c:v>
                </c:pt>
                <c:pt idx="81" formatCode="0.0%">
                  <c:v>0.93500000000000005</c:v>
                </c:pt>
                <c:pt idx="82" formatCode="0.0%">
                  <c:v>0.94099999999999995</c:v>
                </c:pt>
                <c:pt idx="83" formatCode="0.0%">
                  <c:v>0.93400000000000005</c:v>
                </c:pt>
                <c:pt idx="84" formatCode="0.0%">
                  <c:v>0.93</c:v>
                </c:pt>
                <c:pt idx="85" formatCode="0.0%">
                  <c:v>0.94</c:v>
                </c:pt>
                <c:pt idx="86" formatCode="0.0%">
                  <c:v>0.94</c:v>
                </c:pt>
                <c:pt idx="87" formatCode="0.0%">
                  <c:v>0.94799999999999995</c:v>
                </c:pt>
                <c:pt idx="88" formatCode="0.0%">
                  <c:v>0.95399999999999996</c:v>
                </c:pt>
                <c:pt idx="89" formatCode="0.0%">
                  <c:v>0.95299999999999996</c:v>
                </c:pt>
                <c:pt idx="90" formatCode="0.0%">
                  <c:v>0.95399999999999996</c:v>
                </c:pt>
                <c:pt idx="91" formatCode="0.0%">
                  <c:v>0.94899999999999995</c:v>
                </c:pt>
                <c:pt idx="92" formatCode="0.0%">
                  <c:v>0.94699999999999995</c:v>
                </c:pt>
                <c:pt idx="93" formatCode="0.0%">
                  <c:v>0.95199999999999996</c:v>
                </c:pt>
                <c:pt idx="94" formatCode="0.0%">
                  <c:v>0.96099999999999997</c:v>
                </c:pt>
                <c:pt idx="95" formatCode="0.0%">
                  <c:v>0.95899999999999996</c:v>
                </c:pt>
                <c:pt idx="96" formatCode="0.0%">
                  <c:v>0.95399999999999996</c:v>
                </c:pt>
                <c:pt idx="97" formatCode="0.0%">
                  <c:v>0.95199999999999996</c:v>
                </c:pt>
                <c:pt idx="98" formatCode="0.0%">
                  <c:v>0.96099999999999997</c:v>
                </c:pt>
                <c:pt idx="99" formatCode="0.0%">
                  <c:v>0.96299999999999997</c:v>
                </c:pt>
                <c:pt idx="100" formatCode="0.0%">
                  <c:v>0.96299999999999997</c:v>
                </c:pt>
                <c:pt idx="101" formatCode="0.0%">
                  <c:v>0.96599999999999997</c:v>
                </c:pt>
                <c:pt idx="102" formatCode="0.0%">
                  <c:v>0.96699999999999997</c:v>
                </c:pt>
                <c:pt idx="103" formatCode="0.0%">
                  <c:v>0.96</c:v>
                </c:pt>
                <c:pt idx="104" formatCode="0.0%">
                  <c:v>0.96599999999999997</c:v>
                </c:pt>
                <c:pt idx="105" formatCode="0.0%">
                  <c:v>0.97299999999999998</c:v>
                </c:pt>
                <c:pt idx="106" formatCode="0.0%">
                  <c:v>0.95899999999999996</c:v>
                </c:pt>
                <c:pt idx="107" formatCode="0.0%">
                  <c:v>0.94599999999999995</c:v>
                </c:pt>
                <c:pt idx="108" formatCode="0.0%">
                  <c:v>0.93200000000000005</c:v>
                </c:pt>
                <c:pt idx="109" formatCode="0.0%">
                  <c:v>0.9</c:v>
                </c:pt>
                <c:pt idx="110" formatCode="0.0%">
                  <c:v>0.86699999999999999</c:v>
                </c:pt>
                <c:pt idx="111" formatCode="0.0%">
                  <c:v>0.85599999999999998</c:v>
                </c:pt>
                <c:pt idx="112" formatCode="0.0%">
                  <c:v>0.876</c:v>
                </c:pt>
                <c:pt idx="113" formatCode="0.0%">
                  <c:v>0.88600000000000001</c:v>
                </c:pt>
                <c:pt idx="114" formatCode="0.0%">
                  <c:v>0.86499999999999999</c:v>
                </c:pt>
                <c:pt idx="115" formatCode="0.0%">
                  <c:v>0.82799999999999996</c:v>
                </c:pt>
                <c:pt idx="116" formatCode="0.0%">
                  <c:v>0.77500000000000002</c:v>
                </c:pt>
                <c:pt idx="117" formatCode="0.0%">
                  <c:v>0.77100000000000002</c:v>
                </c:pt>
                <c:pt idx="118" formatCode="0.0%">
                  <c:v>0.76600000000000001</c:v>
                </c:pt>
                <c:pt idx="119" formatCode="0.0%">
                  <c:v>0.82599999999999996</c:v>
                </c:pt>
                <c:pt idx="120" formatCode="0.0%">
                  <c:v>0.80300000000000005</c:v>
                </c:pt>
                <c:pt idx="121" formatCode="0.0%">
                  <c:v>0.81899999999999995</c:v>
                </c:pt>
                <c:pt idx="122" formatCode="0.0%">
                  <c:v>0.81899999999999995</c:v>
                </c:pt>
                <c:pt idx="123" formatCode="0.0%">
                  <c:v>0.80300000000000005</c:v>
                </c:pt>
                <c:pt idx="124" formatCode="0.0%">
                  <c:v>0.82399999999999995</c:v>
                </c:pt>
                <c:pt idx="125" formatCode="0.0%">
                  <c:v>0.79500000000000004</c:v>
                </c:pt>
                <c:pt idx="126" formatCode="0.0%">
                  <c:v>0.85099999999999998</c:v>
                </c:pt>
                <c:pt idx="127" formatCode="0.0%">
                  <c:v>0.874</c:v>
                </c:pt>
                <c:pt idx="128" formatCode="0.0%">
                  <c:v>0.86799999999999999</c:v>
                </c:pt>
                <c:pt idx="129" formatCode="0.0%">
                  <c:v>0.89800000000000002</c:v>
                </c:pt>
                <c:pt idx="130" formatCode="0.0%">
                  <c:v>0.86599999999999999</c:v>
                </c:pt>
                <c:pt idx="131" formatCode="0.0%">
                  <c:v>0.85199999999999998</c:v>
                </c:pt>
                <c:pt idx="132" formatCode="0.0%">
                  <c:v>0.86199999999999999</c:v>
                </c:pt>
                <c:pt idx="133" formatCode="0.0%">
                  <c:v>0.84299999999999997</c:v>
                </c:pt>
                <c:pt idx="134" formatCode="0.0%">
                  <c:v>0.84899999999999998</c:v>
                </c:pt>
                <c:pt idx="135" formatCode="0.0%">
                  <c:v>0.91500000000000004</c:v>
                </c:pt>
                <c:pt idx="136" formatCode="0.0%">
                  <c:v>0.92500000000000004</c:v>
                </c:pt>
                <c:pt idx="137" formatCode="0.0%">
                  <c:v>0.89600000000000002</c:v>
                </c:pt>
                <c:pt idx="138" formatCode="0.0%">
                  <c:v>0.89100000000000001</c:v>
                </c:pt>
                <c:pt idx="139" formatCode="0.0%">
                  <c:v>0.90200000000000002</c:v>
                </c:pt>
                <c:pt idx="140" formatCode="0.0%">
                  <c:v>0.90500000000000003</c:v>
                </c:pt>
                <c:pt idx="141" formatCode="0.0%">
                  <c:v>0.89700000000000002</c:v>
                </c:pt>
                <c:pt idx="142" formatCode="0.0%">
                  <c:v>0.92300000000000004</c:v>
                </c:pt>
                <c:pt idx="143" formatCode="0.0%">
                  <c:v>0.93799999999999994</c:v>
                </c:pt>
                <c:pt idx="144" formatCode="0.0%">
                  <c:v>0.95399999999999996</c:v>
                </c:pt>
                <c:pt idx="145" formatCode="0.0%">
                  <c:v>0.94899999999999995</c:v>
                </c:pt>
                <c:pt idx="146" formatCode="0.0%">
                  <c:v>0.95</c:v>
                </c:pt>
                <c:pt idx="147" formatCode="0.0%">
                  <c:v>0.94899999999999995</c:v>
                </c:pt>
                <c:pt idx="148" formatCode="0.0%">
                  <c:v>0.94</c:v>
                </c:pt>
                <c:pt idx="149" formatCode="0.0%">
                  <c:v>0.94299999999999995</c:v>
                </c:pt>
                <c:pt idx="150" formatCode="0.0%">
                  <c:v>0.94899999999999995</c:v>
                </c:pt>
                <c:pt idx="151" formatCode="0.0%">
                  <c:v>0.94599999999999995</c:v>
                </c:pt>
                <c:pt idx="152" formatCode="0.0%">
                  <c:v>0.94199999999999995</c:v>
                </c:pt>
                <c:pt idx="153" formatCode="0.0%">
                  <c:v>0.94199999999999995</c:v>
                </c:pt>
                <c:pt idx="154" formatCode="0.0%">
                  <c:v>0.94</c:v>
                </c:pt>
                <c:pt idx="155" formatCode="0.0%">
                  <c:v>0.94099999999999995</c:v>
                </c:pt>
                <c:pt idx="156" formatCode="0.0%">
                  <c:v>0.95599999999999996</c:v>
                </c:pt>
                <c:pt idx="157" formatCode="0.0%">
                  <c:v>0.96699999999999997</c:v>
                </c:pt>
                <c:pt idx="158" formatCode="0.0%">
                  <c:v>0.96099999999999997</c:v>
                </c:pt>
                <c:pt idx="159" formatCode="0.0%">
                  <c:v>0.98</c:v>
                </c:pt>
                <c:pt idx="160" formatCode="0.0%">
                  <c:v>0.97699999999999998</c:v>
                </c:pt>
                <c:pt idx="161" formatCode="0.0%">
                  <c:v>0.98399999999999999</c:v>
                </c:pt>
                <c:pt idx="162" formatCode="0.0%">
                  <c:v>0.98099999999999998</c:v>
                </c:pt>
                <c:pt idx="163" formatCode="0.0%">
                  <c:v>0.97799999999999998</c:v>
                </c:pt>
                <c:pt idx="164" formatCode="0.0%">
                  <c:v>0.97799999999999998</c:v>
                </c:pt>
                <c:pt idx="165" formatCode="0.0%">
                  <c:v>0.97699999999999998</c:v>
                </c:pt>
                <c:pt idx="166" formatCode="0.0%">
                  <c:v>0.99</c:v>
                </c:pt>
                <c:pt idx="167" formatCode="0.0%">
                  <c:v>0.98599999999999999</c:v>
                </c:pt>
                <c:pt idx="168" formatCode="0.0%">
                  <c:v>0.98499999999999999</c:v>
                </c:pt>
                <c:pt idx="169" formatCode="0.0%">
                  <c:v>0.98499999999999999</c:v>
                </c:pt>
                <c:pt idx="170" formatCode="0.0%">
                  <c:v>0.98099999999999998</c:v>
                </c:pt>
                <c:pt idx="171" formatCode="0.0%">
                  <c:v>0.97599999999999998</c:v>
                </c:pt>
                <c:pt idx="172" formatCode="0.0%">
                  <c:v>0.97499999999999998</c:v>
                </c:pt>
                <c:pt idx="173" formatCode="0.0%">
                  <c:v>0.98</c:v>
                </c:pt>
                <c:pt idx="174" formatCode="0.0%">
                  <c:v>0.97699999999999998</c:v>
                </c:pt>
                <c:pt idx="175" formatCode="0.0%">
                  <c:v>0.97899999999999998</c:v>
                </c:pt>
                <c:pt idx="176" formatCode="0.0%">
                  <c:v>0.97899999999999998</c:v>
                </c:pt>
                <c:pt idx="177" formatCode="0.0%">
                  <c:v>0.97699999999999998</c:v>
                </c:pt>
                <c:pt idx="178" formatCode="0.0%">
                  <c:v>0.97699999999999998</c:v>
                </c:pt>
                <c:pt idx="179" formatCode="0.0%">
                  <c:v>0.97599999999999998</c:v>
                </c:pt>
                <c:pt idx="180" formatCode="0.0%">
                  <c:v>0.97499999999999998</c:v>
                </c:pt>
                <c:pt idx="181" formatCode="0.0%">
                  <c:v>0.97899999999999998</c:v>
                </c:pt>
                <c:pt idx="182" formatCode="0.0%">
                  <c:v>0.98299999999999998</c:v>
                </c:pt>
                <c:pt idx="183" formatCode="0.0%">
                  <c:v>0.99</c:v>
                </c:pt>
                <c:pt idx="184" formatCode="0.0%">
                  <c:v>0.99299999999999999</c:v>
                </c:pt>
                <c:pt idx="185" formatCode="0.0%">
                  <c:v>0.99399999999999999</c:v>
                </c:pt>
                <c:pt idx="186" formatCode="0.0%">
                  <c:v>0.99</c:v>
                </c:pt>
                <c:pt idx="187" formatCode="0.0%">
                  <c:v>0.99299999999999999</c:v>
                </c:pt>
                <c:pt idx="188" formatCode="0.0%">
                  <c:v>0.99099999999999999</c:v>
                </c:pt>
                <c:pt idx="189" formatCode="0.0%">
                  <c:v>0.98399999999999999</c:v>
                </c:pt>
                <c:pt idx="190" formatCode="0.0%">
                  <c:v>0.98699999999999999</c:v>
                </c:pt>
                <c:pt idx="191" formatCode="0.0%">
                  <c:v>0.98799999999999999</c:v>
                </c:pt>
                <c:pt idx="192" formatCode="0.0%">
                  <c:v>0.98599999999999999</c:v>
                </c:pt>
                <c:pt idx="193" formatCode="0.0%">
                  <c:v>0.98699999999999999</c:v>
                </c:pt>
                <c:pt idx="194" formatCode="0.0%">
                  <c:v>0.98399999999999999</c:v>
                </c:pt>
                <c:pt idx="195" formatCode="0.0%">
                  <c:v>0.98599999999999999</c:v>
                </c:pt>
                <c:pt idx="196" formatCode="0.0%">
                  <c:v>0.98399999999999999</c:v>
                </c:pt>
                <c:pt idx="197" formatCode="0.0%">
                  <c:v>0.98699999999999999</c:v>
                </c:pt>
                <c:pt idx="198" formatCode="0.0%">
                  <c:v>0.98799999999999999</c:v>
                </c:pt>
                <c:pt idx="199" formatCode="0.0%">
                  <c:v>0.98599999999999999</c:v>
                </c:pt>
                <c:pt idx="200" formatCode="0.0%">
                  <c:v>0.97199999999999998</c:v>
                </c:pt>
                <c:pt idx="201" formatCode="0.0%">
                  <c:v>0.96</c:v>
                </c:pt>
                <c:pt idx="202" formatCode="0.0%">
                  <c:v>0.95299999999999996</c:v>
                </c:pt>
                <c:pt idx="203" formatCode="0.0%">
                  <c:v>0.97499999999999998</c:v>
                </c:pt>
                <c:pt idx="204" formatCode="0.0%">
                  <c:v>0.96099999999999997</c:v>
                </c:pt>
                <c:pt idx="205" formatCode="0.0%">
                  <c:v>0.96699999999999997</c:v>
                </c:pt>
                <c:pt idx="206" formatCode="0.0%">
                  <c:v>0.96599999999999997</c:v>
                </c:pt>
                <c:pt idx="207" formatCode="0.0%">
                  <c:v>0.96299999999999997</c:v>
                </c:pt>
                <c:pt idx="208" formatCode="0.0%">
                  <c:v>0.95299999999999996</c:v>
                </c:pt>
                <c:pt idx="209" formatCode="0.0%">
                  <c:v>0.94</c:v>
                </c:pt>
                <c:pt idx="210" formatCode="0.0%">
                  <c:v>0.93300000000000005</c:v>
                </c:pt>
                <c:pt idx="211" formatCode="0.0%">
                  <c:v>0.92200000000000004</c:v>
                </c:pt>
                <c:pt idx="212" formatCode="0.0%">
                  <c:v>0.90700000000000003</c:v>
                </c:pt>
                <c:pt idx="213" formatCode="0.0%">
                  <c:v>0.91700000000000004</c:v>
                </c:pt>
                <c:pt idx="214" formatCode="0.0%">
                  <c:v>0.92800000000000005</c:v>
                </c:pt>
                <c:pt idx="215" formatCode="0.0%">
                  <c:v>0.94</c:v>
                </c:pt>
                <c:pt idx="216" formatCode="0.0%">
                  <c:v>0.92400000000000004</c:v>
                </c:pt>
                <c:pt idx="217" formatCode="0.0%">
                  <c:v>0.93100000000000005</c:v>
                </c:pt>
                <c:pt idx="218" formatCode="0.0%">
                  <c:v>0.93899999999999995</c:v>
                </c:pt>
                <c:pt idx="219" formatCode="0.0%">
                  <c:v>0.91600000000000004</c:v>
                </c:pt>
                <c:pt idx="220" formatCode="0.0%">
                  <c:v>0.89800000000000002</c:v>
                </c:pt>
                <c:pt idx="221" formatCode="0.0%">
                  <c:v>0.92800000000000005</c:v>
                </c:pt>
                <c:pt idx="222" formatCode="0.0%">
                  <c:v>0.92800000000000005</c:v>
                </c:pt>
                <c:pt idx="223" formatCode="0.0%">
                  <c:v>0.93700000000000006</c:v>
                </c:pt>
                <c:pt idx="224" formatCode="0.0%">
                  <c:v>0.93300000000000005</c:v>
                </c:pt>
                <c:pt idx="225" formatCode="0.0%">
                  <c:v>0.92800000000000005</c:v>
                </c:pt>
                <c:pt idx="226" formatCode="0.0%">
                  <c:v>0.91100000000000003</c:v>
                </c:pt>
                <c:pt idx="227" formatCode="0.0%">
                  <c:v>0.91900000000000004</c:v>
                </c:pt>
                <c:pt idx="228" formatCode="0.0%">
                  <c:v>0.88200000000000001</c:v>
                </c:pt>
                <c:pt idx="229" formatCode="0.0%">
                  <c:v>0.873</c:v>
                </c:pt>
                <c:pt idx="230" formatCode="0.0%">
                  <c:v>0.80300000000000005</c:v>
                </c:pt>
                <c:pt idx="231" formatCode="0.0%">
                  <c:v>0.78900000000000003</c:v>
                </c:pt>
                <c:pt idx="232" formatCode="0.0%">
                  <c:v>0.84799999999999998</c:v>
                </c:pt>
                <c:pt idx="233" formatCode="0.0%">
                  <c:v>0.88</c:v>
                </c:pt>
                <c:pt idx="234" formatCode="0.0%">
                  <c:v>0.89900000000000002</c:v>
                </c:pt>
                <c:pt idx="235" formatCode="0.0%">
                  <c:v>0.93200000000000005</c:v>
                </c:pt>
                <c:pt idx="236" formatCode="0.0%">
                  <c:v>0.91100000000000003</c:v>
                </c:pt>
                <c:pt idx="237" formatCode="0.0%">
                  <c:v>0.91</c:v>
                </c:pt>
                <c:pt idx="238" formatCode="0.0%">
                  <c:v>0.89800000000000002</c:v>
                </c:pt>
                <c:pt idx="239" formatCode="0.0%">
                  <c:v>0.93799999999999994</c:v>
                </c:pt>
                <c:pt idx="240" formatCode="0.0%">
                  <c:v>0.92400000000000004</c:v>
                </c:pt>
                <c:pt idx="241" formatCode="0.0%">
                  <c:v>0.90700000000000003</c:v>
                </c:pt>
                <c:pt idx="242" formatCode="0.0%">
                  <c:v>0.93799999999999994</c:v>
                </c:pt>
                <c:pt idx="243" formatCode="0.0%">
                  <c:v>0.94299999999999995</c:v>
                </c:pt>
                <c:pt idx="244" formatCode="0.0%">
                  <c:v>0.94599999999999995</c:v>
                </c:pt>
                <c:pt idx="245" formatCode="0.0%">
                  <c:v>0.94799999999999995</c:v>
                </c:pt>
              </c:numCache>
            </c:numRef>
          </c:val>
          <c:smooth val="1"/>
          <c:extLst>
            <c:ext xmlns:c16="http://schemas.microsoft.com/office/drawing/2014/chart" uri="{C3380CC4-5D6E-409C-BE32-E72D297353CC}">
              <c16:uniqueId val="{00000003-5DE0-4098-B8BD-D89AFE3E4253}"/>
            </c:ext>
          </c:extLst>
        </c:ser>
        <c:dLbls>
          <c:showLegendKey val="0"/>
          <c:showVal val="0"/>
          <c:showCatName val="0"/>
          <c:showSerName val="0"/>
          <c:showPercent val="0"/>
          <c:showBubbleSize val="0"/>
        </c:dLbls>
        <c:smooth val="0"/>
        <c:axId val="764444600"/>
        <c:axId val="764441976"/>
      </c:lineChart>
      <c:dateAx>
        <c:axId val="76444460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ru-RU"/>
          </a:p>
        </c:txPr>
        <c:crossAx val="764441976"/>
        <c:crosses val="autoZero"/>
        <c:auto val="0"/>
        <c:lblOffset val="100"/>
        <c:baseTimeUnit val="days"/>
        <c:majorUnit val="7"/>
        <c:majorTimeUnit val="days"/>
        <c:minorUnit val="1"/>
        <c:minorTimeUnit val="months"/>
      </c:dateAx>
      <c:valAx>
        <c:axId val="764441976"/>
        <c:scaling>
          <c:orientation val="minMax"/>
          <c:max val="1"/>
          <c:min val="0.88000000000000012"/>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64444600"/>
        <c:crosses val="autoZero"/>
        <c:crossBetween val="between"/>
      </c:valAx>
      <c:spPr>
        <a:noFill/>
        <a:ln>
          <a:noFill/>
        </a:ln>
        <a:effectLst/>
      </c:spPr>
    </c:plotArea>
    <c:legend>
      <c:legendPos val="b"/>
      <c:layout>
        <c:manualLayout>
          <c:xMode val="edge"/>
          <c:yMode val="edge"/>
          <c:x val="4.1003783617956834E-2"/>
          <c:y val="0.81249884205650769"/>
          <c:w val="0.92491856699730712"/>
          <c:h val="0.158089393237610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Data!$B$32</c:f>
              <c:strCache>
                <c:ptCount val="1"/>
                <c:pt idx="0">
                  <c:v>Distribution % in Revenue</c:v>
                </c:pt>
              </c:strCache>
            </c:strRef>
          </c:tx>
          <c:spPr>
            <a:ln w="28575" cap="rnd">
              <a:solidFill>
                <a:schemeClr val="accent1"/>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Data!$C$32:$Z$32</c:f>
              <c:numCache>
                <c:formatCode>0.0%</c:formatCode>
                <c:ptCount val="24"/>
                <c:pt idx="0">
                  <c:v>7.3597918776370772E-2</c:v>
                </c:pt>
                <c:pt idx="1">
                  <c:v>8.4000000000000005E-2</c:v>
                </c:pt>
                <c:pt idx="2">
                  <c:v>0.1</c:v>
                </c:pt>
                <c:pt idx="3">
                  <c:v>6.7000000000000004E-2</c:v>
                </c:pt>
                <c:pt idx="4">
                  <c:v>6.9347710051970587E-2</c:v>
                </c:pt>
                <c:pt idx="5">
                  <c:v>9.7000000000000003E-2</c:v>
                </c:pt>
                <c:pt idx="6">
                  <c:v>7.0000000000000007E-2</c:v>
                </c:pt>
                <c:pt idx="7">
                  <c:v>0.107</c:v>
                </c:pt>
                <c:pt idx="8">
                  <c:v>0.10570145805985035</c:v>
                </c:pt>
                <c:pt idx="9">
                  <c:v>6.9545515542340772E-2</c:v>
                </c:pt>
                <c:pt idx="10">
                  <c:v>0.11799999999999999</c:v>
                </c:pt>
                <c:pt idx="11">
                  <c:v>8.6126935702523139E-2</c:v>
                </c:pt>
                <c:pt idx="12">
                  <c:v>6.5902312552164374E-2</c:v>
                </c:pt>
                <c:pt idx="13">
                  <c:v>0.10824555618934292</c:v>
                </c:pt>
                <c:pt idx="14">
                  <c:v>8.5999999999999993E-2</c:v>
                </c:pt>
                <c:pt idx="15">
                  <c:v>7.4126122729125568E-2</c:v>
                </c:pt>
                <c:pt idx="16">
                  <c:v>8.7524803419983296E-2</c:v>
                </c:pt>
                <c:pt idx="17">
                  <c:v>8.0900944571852471E-2</c:v>
                </c:pt>
                <c:pt idx="18">
                  <c:v>7.6999999999999999E-2</c:v>
                </c:pt>
                <c:pt idx="19">
                  <c:v>0.127</c:v>
                </c:pt>
                <c:pt idx="20">
                  <c:v>0.113</c:v>
                </c:pt>
                <c:pt idx="21">
                  <c:v>6.9000000000000006E-2</c:v>
                </c:pt>
                <c:pt idx="22">
                  <c:v>0.13300000000000001</c:v>
                </c:pt>
                <c:pt idx="23">
                  <c:v>7.9000000000000001E-2</c:v>
                </c:pt>
              </c:numCache>
            </c:numRef>
          </c:val>
          <c:smooth val="1"/>
          <c:extLst>
            <c:ext xmlns:c16="http://schemas.microsoft.com/office/drawing/2014/chart" uri="{C3380CC4-5D6E-409C-BE32-E72D297353CC}">
              <c16:uniqueId val="{00000000-337C-41D6-9256-C1C62875024F}"/>
            </c:ext>
          </c:extLst>
        </c:ser>
        <c:ser>
          <c:idx val="1"/>
          <c:order val="1"/>
          <c:tx>
            <c:strRef>
              <c:f>Data!$B$33</c:f>
              <c:strCache>
                <c:ptCount val="1"/>
                <c:pt idx="0">
                  <c:v>Distr % in Rev Target</c:v>
                </c:pt>
              </c:strCache>
            </c:strRef>
          </c:tx>
          <c:spPr>
            <a:ln w="28575" cap="rnd">
              <a:solidFill>
                <a:schemeClr val="accent2"/>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Data!$C$33:$Z$33</c:f>
              <c:numCache>
                <c:formatCode>0.0%</c:formatCode>
                <c:ptCount val="24"/>
                <c:pt idx="0">
                  <c:v>8.9099999999999999E-2</c:v>
                </c:pt>
                <c:pt idx="1">
                  <c:v>8.5999999999999993E-2</c:v>
                </c:pt>
                <c:pt idx="2">
                  <c:v>8.4000000000000005E-2</c:v>
                </c:pt>
                <c:pt idx="3">
                  <c:v>8.4000000000000005E-2</c:v>
                </c:pt>
                <c:pt idx="4">
                  <c:v>8.4000000000000005E-2</c:v>
                </c:pt>
                <c:pt idx="5">
                  <c:v>8.5999999999999993E-2</c:v>
                </c:pt>
                <c:pt idx="6">
                  <c:v>8.2000000000000003E-2</c:v>
                </c:pt>
                <c:pt idx="7">
                  <c:v>9.4E-2</c:v>
                </c:pt>
                <c:pt idx="8">
                  <c:v>9.0087986212807808E-2</c:v>
                </c:pt>
                <c:pt idx="9">
                  <c:v>8.702443194716708E-2</c:v>
                </c:pt>
                <c:pt idx="10">
                  <c:v>0.09</c:v>
                </c:pt>
                <c:pt idx="11">
                  <c:v>9.2200009363584828E-2</c:v>
                </c:pt>
                <c:pt idx="12">
                  <c:v>8.2730168311728233E-2</c:v>
                </c:pt>
                <c:pt idx="13">
                  <c:v>9.3090787809236727E-2</c:v>
                </c:pt>
                <c:pt idx="14">
                  <c:v>9.5000000000000001E-2</c:v>
                </c:pt>
                <c:pt idx="15">
                  <c:v>8.4790284765746071E-2</c:v>
                </c:pt>
                <c:pt idx="16">
                  <c:v>8.1227147051729925E-2</c:v>
                </c:pt>
                <c:pt idx="17">
                  <c:v>0.10274950053179992</c:v>
                </c:pt>
                <c:pt idx="18">
                  <c:v>9.7000000000000003E-2</c:v>
                </c:pt>
                <c:pt idx="19">
                  <c:v>0.113</c:v>
                </c:pt>
                <c:pt idx="20">
                  <c:v>0.113</c:v>
                </c:pt>
                <c:pt idx="21">
                  <c:v>8.5000000000000006E-2</c:v>
                </c:pt>
                <c:pt idx="22">
                  <c:v>0.107</c:v>
                </c:pt>
                <c:pt idx="23">
                  <c:v>9.5000000000000001E-2</c:v>
                </c:pt>
              </c:numCache>
            </c:numRef>
          </c:val>
          <c:smooth val="1"/>
          <c:extLst>
            <c:ext xmlns:c16="http://schemas.microsoft.com/office/drawing/2014/chart" uri="{C3380CC4-5D6E-409C-BE32-E72D297353CC}">
              <c16:uniqueId val="{00000001-337C-41D6-9256-C1C62875024F}"/>
            </c:ext>
          </c:extLst>
        </c:ser>
        <c:dLbls>
          <c:showLegendKey val="0"/>
          <c:showVal val="0"/>
          <c:showCatName val="0"/>
          <c:showSerName val="0"/>
          <c:showPercent val="0"/>
          <c:showBubbleSize val="0"/>
        </c:dLbls>
        <c:smooth val="0"/>
        <c:axId val="746438960"/>
        <c:axId val="746436664"/>
      </c:lineChart>
      <c:catAx>
        <c:axId val="74643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46436664"/>
        <c:crosses val="autoZero"/>
        <c:auto val="1"/>
        <c:lblAlgn val="ctr"/>
        <c:lblOffset val="100"/>
        <c:noMultiLvlLbl val="0"/>
      </c:catAx>
      <c:valAx>
        <c:axId val="746436664"/>
        <c:scaling>
          <c:orientation val="minMax"/>
          <c:max val="0.12000000000000001"/>
          <c:min val="3.0000000000000006E-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46438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1"/>
          <c:order val="0"/>
          <c:tx>
            <c:strRef>
              <c:f>Data!$B$39</c:f>
              <c:strCache>
                <c:ptCount val="1"/>
                <c:pt idx="0">
                  <c:v>3PL Goods receipt packs Target</c:v>
                </c:pt>
              </c:strCache>
            </c:strRef>
          </c:tx>
          <c:spPr>
            <a:ln w="28575" cap="rnd">
              <a:solidFill>
                <a:sysClr val="window" lastClr="FFFFFF">
                  <a:lumMod val="65000"/>
                </a:sysClr>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Data!$C$39:$Z$39</c:f>
              <c:numCache>
                <c:formatCode>#,##0</c:formatCode>
                <c:ptCount val="24"/>
                <c:pt idx="0">
                  <c:v>532920</c:v>
                </c:pt>
                <c:pt idx="1">
                  <c:v>259253</c:v>
                </c:pt>
                <c:pt idx="2">
                  <c:v>278966</c:v>
                </c:pt>
                <c:pt idx="3">
                  <c:v>457380</c:v>
                </c:pt>
                <c:pt idx="4">
                  <c:v>388836</c:v>
                </c:pt>
                <c:pt idx="5">
                  <c:v>325034</c:v>
                </c:pt>
                <c:pt idx="6">
                  <c:v>247488</c:v>
                </c:pt>
                <c:pt idx="7">
                  <c:v>339585</c:v>
                </c:pt>
                <c:pt idx="8">
                  <c:v>377412</c:v>
                </c:pt>
                <c:pt idx="9">
                  <c:v>292000</c:v>
                </c:pt>
                <c:pt idx="10">
                  <c:v>395925</c:v>
                </c:pt>
                <c:pt idx="11">
                  <c:v>339000</c:v>
                </c:pt>
                <c:pt idx="12">
                  <c:v>263591</c:v>
                </c:pt>
                <c:pt idx="13">
                  <c:v>256069</c:v>
                </c:pt>
                <c:pt idx="14">
                  <c:v>458234</c:v>
                </c:pt>
                <c:pt idx="15">
                  <c:v>434168</c:v>
                </c:pt>
                <c:pt idx="16">
                  <c:v>381749</c:v>
                </c:pt>
                <c:pt idx="17">
                  <c:v>384386</c:v>
                </c:pt>
                <c:pt idx="18">
                  <c:v>329000</c:v>
                </c:pt>
                <c:pt idx="19">
                  <c:v>419000</c:v>
                </c:pt>
                <c:pt idx="20">
                  <c:v>547000</c:v>
                </c:pt>
                <c:pt idx="21">
                  <c:v>415000</c:v>
                </c:pt>
                <c:pt idx="22">
                  <c:v>350000</c:v>
                </c:pt>
                <c:pt idx="23">
                  <c:v>603000</c:v>
                </c:pt>
              </c:numCache>
            </c:numRef>
          </c:val>
          <c:smooth val="1"/>
          <c:extLst>
            <c:ext xmlns:c16="http://schemas.microsoft.com/office/drawing/2014/chart" uri="{C3380CC4-5D6E-409C-BE32-E72D297353CC}">
              <c16:uniqueId val="{00000000-CC91-47F8-8456-C6DEA558BF51}"/>
            </c:ext>
          </c:extLst>
        </c:ser>
        <c:ser>
          <c:idx val="2"/>
          <c:order val="1"/>
          <c:tx>
            <c:strRef>
              <c:f>Data!$B$38</c:f>
              <c:strCache>
                <c:ptCount val="1"/>
                <c:pt idx="0">
                  <c:v>3PL Goods receipt actual packs (inbound)</c:v>
                </c:pt>
              </c:strCache>
            </c:strRef>
          </c:tx>
          <c:spPr>
            <a:ln w="28575" cap="rnd">
              <a:solidFill>
                <a:srgbClr val="ED7D31"/>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Data!$C$38:$Z$38</c:f>
              <c:numCache>
                <c:formatCode>#,##0</c:formatCode>
                <c:ptCount val="24"/>
                <c:pt idx="0">
                  <c:v>410349</c:v>
                </c:pt>
                <c:pt idx="1">
                  <c:v>266211</c:v>
                </c:pt>
                <c:pt idx="2">
                  <c:v>212322</c:v>
                </c:pt>
                <c:pt idx="3">
                  <c:v>425363</c:v>
                </c:pt>
                <c:pt idx="4">
                  <c:v>389214</c:v>
                </c:pt>
                <c:pt idx="5">
                  <c:v>344107</c:v>
                </c:pt>
                <c:pt idx="6">
                  <c:v>248166</c:v>
                </c:pt>
                <c:pt idx="7">
                  <c:v>414294</c:v>
                </c:pt>
                <c:pt idx="8">
                  <c:v>387983</c:v>
                </c:pt>
                <c:pt idx="9">
                  <c:v>198946</c:v>
                </c:pt>
                <c:pt idx="10">
                  <c:v>349696</c:v>
                </c:pt>
                <c:pt idx="11">
                  <c:v>308371</c:v>
                </c:pt>
                <c:pt idx="12">
                  <c:v>263565</c:v>
                </c:pt>
                <c:pt idx="13">
                  <c:v>220007</c:v>
                </c:pt>
                <c:pt idx="14">
                  <c:v>424502</c:v>
                </c:pt>
                <c:pt idx="15">
                  <c:v>402555</c:v>
                </c:pt>
                <c:pt idx="16">
                  <c:v>368978</c:v>
                </c:pt>
                <c:pt idx="17">
                  <c:v>402271</c:v>
                </c:pt>
                <c:pt idx="18">
                  <c:v>369228</c:v>
                </c:pt>
                <c:pt idx="19">
                  <c:v>607412</c:v>
                </c:pt>
                <c:pt idx="20">
                  <c:v>639458</c:v>
                </c:pt>
                <c:pt idx="21">
                  <c:v>454429</c:v>
                </c:pt>
                <c:pt idx="22">
                  <c:v>371271</c:v>
                </c:pt>
                <c:pt idx="23">
                  <c:v>660167</c:v>
                </c:pt>
              </c:numCache>
            </c:numRef>
          </c:val>
          <c:smooth val="1"/>
          <c:extLst>
            <c:ext xmlns:c16="http://schemas.microsoft.com/office/drawing/2014/chart" uri="{C3380CC4-5D6E-409C-BE32-E72D297353CC}">
              <c16:uniqueId val="{00000001-CC91-47F8-8456-C6DEA558BF51}"/>
            </c:ext>
          </c:extLst>
        </c:ser>
        <c:dLbls>
          <c:showLegendKey val="0"/>
          <c:showVal val="0"/>
          <c:showCatName val="0"/>
          <c:showSerName val="0"/>
          <c:showPercent val="0"/>
          <c:showBubbleSize val="0"/>
        </c:dLbls>
        <c:smooth val="0"/>
        <c:axId val="826068592"/>
        <c:axId val="826066624"/>
      </c:lineChart>
      <c:catAx>
        <c:axId val="82606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26066624"/>
        <c:crosses val="autoZero"/>
        <c:auto val="1"/>
        <c:lblAlgn val="ctr"/>
        <c:lblOffset val="100"/>
        <c:noMultiLvlLbl val="0"/>
      </c:catAx>
      <c:valAx>
        <c:axId val="826066624"/>
        <c:scaling>
          <c:orientation val="minMax"/>
          <c:max val="700000"/>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26068592"/>
        <c:crosses val="autoZero"/>
        <c:crossBetween val="between"/>
        <c:majorUnit val="200000"/>
        <c:minorUnit val="1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403957445511486"/>
          <c:y val="5.6243603648869211E-2"/>
          <c:w val="0.83485279611451979"/>
          <c:h val="0.62956682360121718"/>
        </c:manualLayout>
      </c:layout>
      <c:lineChart>
        <c:grouping val="standard"/>
        <c:varyColors val="0"/>
        <c:ser>
          <c:idx val="0"/>
          <c:order val="0"/>
          <c:tx>
            <c:strRef>
              <c:f>Data!$B$56</c:f>
              <c:strCache>
                <c:ptCount val="1"/>
                <c:pt idx="0">
                  <c:v>Backorders in Sales</c:v>
                </c:pt>
              </c:strCache>
            </c:strRef>
          </c:tx>
          <c:spPr>
            <a:ln w="28575" cap="rnd">
              <a:solidFill>
                <a:schemeClr val="accent1"/>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Data!$C$56:$Z$56</c:f>
              <c:numCache>
                <c:formatCode>0.0%</c:formatCode>
                <c:ptCount val="24"/>
                <c:pt idx="0">
                  <c:v>2.3E-2</c:v>
                </c:pt>
                <c:pt idx="1">
                  <c:v>2.5999999999999999E-2</c:v>
                </c:pt>
                <c:pt idx="2">
                  <c:v>3.4000000000000002E-2</c:v>
                </c:pt>
                <c:pt idx="3">
                  <c:v>5.6000000000000001E-2</c:v>
                </c:pt>
                <c:pt idx="4">
                  <c:v>6.7000000000000004E-2</c:v>
                </c:pt>
                <c:pt idx="5">
                  <c:v>4.7E-2</c:v>
                </c:pt>
                <c:pt idx="6">
                  <c:v>6.4000000000000001E-2</c:v>
                </c:pt>
                <c:pt idx="7">
                  <c:v>5.0999999999999997E-2</c:v>
                </c:pt>
                <c:pt idx="8">
                  <c:v>5.3999999999999999E-2</c:v>
                </c:pt>
                <c:pt idx="9">
                  <c:v>0.04</c:v>
                </c:pt>
                <c:pt idx="10">
                  <c:v>4.8000000000000001E-2</c:v>
                </c:pt>
                <c:pt idx="11">
                  <c:v>4.5999999999999999E-2</c:v>
                </c:pt>
                <c:pt idx="12">
                  <c:v>3.3000000000000002E-2</c:v>
                </c:pt>
                <c:pt idx="13">
                  <c:v>0.125</c:v>
                </c:pt>
                <c:pt idx="14">
                  <c:v>6.0999999999999999E-2</c:v>
                </c:pt>
                <c:pt idx="15">
                  <c:v>7.4999999999999997E-2</c:v>
                </c:pt>
                <c:pt idx="16">
                  <c:v>7.1999999999999995E-2</c:v>
                </c:pt>
                <c:pt idx="17">
                  <c:v>3.6999999999999998E-2</c:v>
                </c:pt>
                <c:pt idx="18">
                  <c:v>4.7E-2</c:v>
                </c:pt>
                <c:pt idx="19">
                  <c:v>4.8000000000000001E-2</c:v>
                </c:pt>
                <c:pt idx="20">
                  <c:v>3.6999999999999998E-2</c:v>
                </c:pt>
                <c:pt idx="21">
                  <c:v>5.8000000000000003E-2</c:v>
                </c:pt>
                <c:pt idx="22">
                  <c:v>9.6000000000000002E-2</c:v>
                </c:pt>
                <c:pt idx="23">
                  <c:v>7.1999999999999995E-2</c:v>
                </c:pt>
              </c:numCache>
            </c:numRef>
          </c:val>
          <c:smooth val="1"/>
          <c:extLst>
            <c:ext xmlns:c16="http://schemas.microsoft.com/office/drawing/2014/chart" uri="{C3380CC4-5D6E-409C-BE32-E72D297353CC}">
              <c16:uniqueId val="{00000000-9342-4944-BFBC-349346E488DC}"/>
            </c:ext>
          </c:extLst>
        </c:ser>
        <c:ser>
          <c:idx val="1"/>
          <c:order val="1"/>
          <c:tx>
            <c:strRef>
              <c:f>Data!$B$57</c:f>
              <c:strCache>
                <c:ptCount val="1"/>
                <c:pt idx="0">
                  <c:v>Backorders Lenses only</c:v>
                </c:pt>
              </c:strCache>
            </c:strRef>
          </c:tx>
          <c:spPr>
            <a:ln w="28575" cap="rnd">
              <a:solidFill>
                <a:schemeClr val="accent2"/>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Data!$C$57:$Z$57</c:f>
              <c:numCache>
                <c:formatCode>0.0%</c:formatCode>
                <c:ptCount val="24"/>
                <c:pt idx="0">
                  <c:v>2.3E-2</c:v>
                </c:pt>
                <c:pt idx="1">
                  <c:v>2.5999999999999999E-2</c:v>
                </c:pt>
                <c:pt idx="2">
                  <c:v>3.4000000000000002E-2</c:v>
                </c:pt>
                <c:pt idx="3">
                  <c:v>5.6000000000000001E-2</c:v>
                </c:pt>
                <c:pt idx="4">
                  <c:v>6.7000000000000004E-2</c:v>
                </c:pt>
                <c:pt idx="5">
                  <c:v>4.7E-2</c:v>
                </c:pt>
                <c:pt idx="6">
                  <c:v>6.4000000000000001E-2</c:v>
                </c:pt>
                <c:pt idx="7">
                  <c:v>5.0999999999999997E-2</c:v>
                </c:pt>
                <c:pt idx="8">
                  <c:v>5.3999999999999999E-2</c:v>
                </c:pt>
                <c:pt idx="9">
                  <c:v>0.04</c:v>
                </c:pt>
                <c:pt idx="10">
                  <c:v>4.8000000000000001E-2</c:v>
                </c:pt>
                <c:pt idx="11">
                  <c:v>4.5999999999999999E-2</c:v>
                </c:pt>
                <c:pt idx="12">
                  <c:v>3.3000000000000002E-2</c:v>
                </c:pt>
                <c:pt idx="13">
                  <c:v>0.125</c:v>
                </c:pt>
                <c:pt idx="14">
                  <c:v>6.0999999999999999E-2</c:v>
                </c:pt>
                <c:pt idx="15">
                  <c:v>7.4999999999999997E-2</c:v>
                </c:pt>
                <c:pt idx="16">
                  <c:v>7.1999999999999995E-2</c:v>
                </c:pt>
                <c:pt idx="17">
                  <c:v>3.6999999999999998E-2</c:v>
                </c:pt>
                <c:pt idx="18">
                  <c:v>4.7E-2</c:v>
                </c:pt>
                <c:pt idx="19">
                  <c:v>4.8000000000000001E-2</c:v>
                </c:pt>
                <c:pt idx="20">
                  <c:v>3.6999999999999998E-2</c:v>
                </c:pt>
                <c:pt idx="21">
                  <c:v>5.8000000000000003E-2</c:v>
                </c:pt>
                <c:pt idx="22">
                  <c:v>9.6000000000000002E-2</c:v>
                </c:pt>
                <c:pt idx="23">
                  <c:v>7.1999999999999995E-2</c:v>
                </c:pt>
              </c:numCache>
            </c:numRef>
          </c:val>
          <c:smooth val="1"/>
          <c:extLst>
            <c:ext xmlns:c16="http://schemas.microsoft.com/office/drawing/2014/chart" uri="{C3380CC4-5D6E-409C-BE32-E72D297353CC}">
              <c16:uniqueId val="{00000001-9342-4944-BFBC-349346E488DC}"/>
            </c:ext>
          </c:extLst>
        </c:ser>
        <c:ser>
          <c:idx val="2"/>
          <c:order val="2"/>
          <c:tx>
            <c:strRef>
              <c:f>Data!$B$58</c:f>
              <c:strCache>
                <c:ptCount val="1"/>
                <c:pt idx="0">
                  <c:v>Backorders in Sales Target</c:v>
                </c:pt>
              </c:strCache>
            </c:strRef>
          </c:tx>
          <c:spPr>
            <a:ln w="28575" cap="rnd">
              <a:solidFill>
                <a:schemeClr val="accent3"/>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Data!$C$58:$Z$58</c:f>
              <c:numCache>
                <c:formatCode>0.0%</c:formatCode>
                <c:ptCount val="24"/>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numCache>
            </c:numRef>
          </c:val>
          <c:smooth val="0"/>
          <c:extLst>
            <c:ext xmlns:c16="http://schemas.microsoft.com/office/drawing/2014/chart" uri="{C3380CC4-5D6E-409C-BE32-E72D297353CC}">
              <c16:uniqueId val="{00000002-9342-4944-BFBC-349346E488DC}"/>
            </c:ext>
          </c:extLst>
        </c:ser>
        <c:dLbls>
          <c:showLegendKey val="0"/>
          <c:showVal val="0"/>
          <c:showCatName val="0"/>
          <c:showSerName val="0"/>
          <c:showPercent val="0"/>
          <c:showBubbleSize val="0"/>
        </c:dLbls>
        <c:smooth val="0"/>
        <c:axId val="972203512"/>
        <c:axId val="972203840"/>
      </c:lineChart>
      <c:catAx>
        <c:axId val="972203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72203840"/>
        <c:crosses val="autoZero"/>
        <c:auto val="1"/>
        <c:lblAlgn val="ctr"/>
        <c:lblOffset val="100"/>
        <c:noMultiLvlLbl val="0"/>
      </c:catAx>
      <c:valAx>
        <c:axId val="972203840"/>
        <c:scaling>
          <c:orientation val="minMax"/>
          <c:max val="0.16000000000000003"/>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72203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'BO Volumes'!$C$4</c:f>
              <c:strCache>
                <c:ptCount val="1"/>
                <c:pt idx="0">
                  <c:v>Total in USD</c:v>
                </c:pt>
              </c:strCache>
            </c:strRef>
          </c:tx>
          <c:spPr>
            <a:ln w="28575" cap="rnd">
              <a:solidFill>
                <a:schemeClr val="accent1"/>
              </a:solidFill>
              <a:round/>
            </a:ln>
            <a:effectLst/>
          </c:spPr>
          <c:marker>
            <c:symbol val="none"/>
          </c:marker>
          <c:cat>
            <c:strRef>
              <c:f>'BO Volumes'!$A$5:$A$60</c:f>
              <c:strCache>
                <c:ptCount val="56"/>
                <c:pt idx="0">
                  <c:v>November</c:v>
                </c:pt>
                <c:pt idx="1">
                  <c:v>December</c:v>
                </c:pt>
                <c:pt idx="2">
                  <c:v>January</c:v>
                </c:pt>
                <c:pt idx="3">
                  <c:v>February</c:v>
                </c:pt>
                <c:pt idx="4">
                  <c:v>March</c:v>
                </c:pt>
                <c:pt idx="5">
                  <c:v>April</c:v>
                </c:pt>
                <c:pt idx="6">
                  <c:v>May</c:v>
                </c:pt>
                <c:pt idx="7">
                  <c:v>June</c:v>
                </c:pt>
                <c:pt idx="8">
                  <c:v>July</c:v>
                </c:pt>
                <c:pt idx="9">
                  <c:v>August</c:v>
                </c:pt>
                <c:pt idx="10">
                  <c:v>September</c:v>
                </c:pt>
                <c:pt idx="11">
                  <c:v>October</c:v>
                </c:pt>
                <c:pt idx="12">
                  <c:v>November</c:v>
                </c:pt>
                <c:pt idx="13">
                  <c:v>December</c:v>
                </c:pt>
                <c:pt idx="14">
                  <c:v>Januarry</c:v>
                </c:pt>
                <c:pt idx="15">
                  <c:v>February</c:v>
                </c:pt>
                <c:pt idx="16">
                  <c:v>March</c:v>
                </c:pt>
                <c:pt idx="17">
                  <c:v>April</c:v>
                </c:pt>
                <c:pt idx="18">
                  <c:v>May</c:v>
                </c:pt>
                <c:pt idx="19">
                  <c:v>June</c:v>
                </c:pt>
                <c:pt idx="20">
                  <c:v>July</c:v>
                </c:pt>
                <c:pt idx="21">
                  <c:v>August</c:v>
                </c:pt>
                <c:pt idx="22">
                  <c:v>September</c:v>
                </c:pt>
                <c:pt idx="23">
                  <c:v>October</c:v>
                </c:pt>
                <c:pt idx="24">
                  <c:v>November</c:v>
                </c:pt>
                <c:pt idx="25">
                  <c:v>December</c:v>
                </c:pt>
                <c:pt idx="26">
                  <c:v>January 2024</c:v>
                </c:pt>
                <c:pt idx="27">
                  <c:v>February</c:v>
                </c:pt>
                <c:pt idx="28">
                  <c:v>March</c:v>
                </c:pt>
                <c:pt idx="29">
                  <c:v>April</c:v>
                </c:pt>
                <c:pt idx="30">
                  <c:v>May</c:v>
                </c:pt>
                <c:pt idx="31">
                  <c:v>June</c:v>
                </c:pt>
                <c:pt idx="32">
                  <c:v>July</c:v>
                </c:pt>
                <c:pt idx="33">
                  <c:v>August</c:v>
                </c:pt>
                <c:pt idx="34">
                  <c:v>September</c:v>
                </c:pt>
                <c:pt idx="35">
                  <c:v>October</c:v>
                </c:pt>
                <c:pt idx="36">
                  <c:v>November</c:v>
                </c:pt>
                <c:pt idx="37">
                  <c:v>December</c:v>
                </c:pt>
                <c:pt idx="38">
                  <c:v>January 2025</c:v>
                </c:pt>
                <c:pt idx="39">
                  <c:v>February</c:v>
                </c:pt>
                <c:pt idx="40">
                  <c:v>March</c:v>
                </c:pt>
                <c:pt idx="41">
                  <c:v>April</c:v>
                </c:pt>
                <c:pt idx="42">
                  <c:v>May</c:v>
                </c:pt>
                <c:pt idx="43">
                  <c:v>June</c:v>
                </c:pt>
                <c:pt idx="44">
                  <c:v>July</c:v>
                </c:pt>
                <c:pt idx="45">
                  <c:v>August</c:v>
                </c:pt>
                <c:pt idx="46">
                  <c:v>September</c:v>
                </c:pt>
                <c:pt idx="47">
                  <c:v>October</c:v>
                </c:pt>
                <c:pt idx="48">
                  <c:v>November</c:v>
                </c:pt>
                <c:pt idx="49">
                  <c:v>December</c:v>
                </c:pt>
                <c:pt idx="50">
                  <c:v>January</c:v>
                </c:pt>
                <c:pt idx="51">
                  <c:v>February </c:v>
                </c:pt>
                <c:pt idx="52">
                  <c:v>March</c:v>
                </c:pt>
                <c:pt idx="53">
                  <c:v>April</c:v>
                </c:pt>
                <c:pt idx="54">
                  <c:v>May</c:v>
                </c:pt>
                <c:pt idx="55">
                  <c:v>June</c:v>
                </c:pt>
              </c:strCache>
            </c:strRef>
          </c:cat>
          <c:val>
            <c:numRef>
              <c:f>'BO Volumes'!$C$5:$C$60</c:f>
              <c:numCache>
                <c:formatCode>#,##0</c:formatCode>
                <c:ptCount val="56"/>
                <c:pt idx="0">
                  <c:v>86290.376128319884</c:v>
                </c:pt>
                <c:pt idx="1">
                  <c:v>40471.035096959975</c:v>
                </c:pt>
                <c:pt idx="2">
                  <c:v>41209.647398399975</c:v>
                </c:pt>
                <c:pt idx="3">
                  <c:v>52687.408350720005</c:v>
                </c:pt>
                <c:pt idx="4">
                  <c:v>285936.64170239784</c:v>
                </c:pt>
                <c:pt idx="5">
                  <c:v>497562.3670184965</c:v>
                </c:pt>
                <c:pt idx="6">
                  <c:v>275706</c:v>
                </c:pt>
                <c:pt idx="7">
                  <c:v>132338.2227935883</c:v>
                </c:pt>
                <c:pt idx="8">
                  <c:v>125903.44443838835</c:v>
                </c:pt>
                <c:pt idx="9">
                  <c:v>102094.88521190493</c:v>
                </c:pt>
                <c:pt idx="10">
                  <c:v>162072.66144659327</c:v>
                </c:pt>
                <c:pt idx="11">
                  <c:v>147591.12853854839</c:v>
                </c:pt>
                <c:pt idx="12">
                  <c:v>243747.63888850107</c:v>
                </c:pt>
                <c:pt idx="13">
                  <c:v>115108</c:v>
                </c:pt>
                <c:pt idx="14">
                  <c:v>112129.05522590833</c:v>
                </c:pt>
                <c:pt idx="15">
                  <c:v>62532.015580070612</c:v>
                </c:pt>
                <c:pt idx="16">
                  <c:v>99469.822689263761</c:v>
                </c:pt>
                <c:pt idx="17">
                  <c:v>164551.01754329161</c:v>
                </c:pt>
                <c:pt idx="18">
                  <c:v>259351.55912681695</c:v>
                </c:pt>
                <c:pt idx="19">
                  <c:v>331764</c:v>
                </c:pt>
                <c:pt idx="20">
                  <c:v>663482.53028520104</c:v>
                </c:pt>
                <c:pt idx="21">
                  <c:v>838747.43393953145</c:v>
                </c:pt>
                <c:pt idx="22">
                  <c:v>723234.06607835751</c:v>
                </c:pt>
                <c:pt idx="23">
                  <c:v>686396.86900284246</c:v>
                </c:pt>
                <c:pt idx="24">
                  <c:v>467072.62321079045</c:v>
                </c:pt>
                <c:pt idx="25">
                  <c:v>309388.76797840156</c:v>
                </c:pt>
                <c:pt idx="26">
                  <c:v>263356.61128560343</c:v>
                </c:pt>
                <c:pt idx="27">
                  <c:v>185758.48830440079</c:v>
                </c:pt>
                <c:pt idx="28">
                  <c:v>167739.85505079973</c:v>
                </c:pt>
                <c:pt idx="29">
                  <c:v>193238.00776320012</c:v>
                </c:pt>
                <c:pt idx="30">
                  <c:v>157676.38820679887</c:v>
                </c:pt>
                <c:pt idx="31">
                  <c:v>89919.360743199461</c:v>
                </c:pt>
                <c:pt idx="32">
                  <c:v>82550</c:v>
                </c:pt>
                <c:pt idx="33">
                  <c:v>97883</c:v>
                </c:pt>
                <c:pt idx="34">
                  <c:v>97107.796608799705</c:v>
                </c:pt>
                <c:pt idx="35">
                  <c:v>382121.64010039461</c:v>
                </c:pt>
                <c:pt idx="36">
                  <c:v>486945.54594238545</c:v>
                </c:pt>
                <c:pt idx="37">
                  <c:v>227191</c:v>
                </c:pt>
                <c:pt idx="38">
                  <c:v>286290.39811553794</c:v>
                </c:pt>
                <c:pt idx="39">
                  <c:v>114560</c:v>
                </c:pt>
                <c:pt idx="40">
                  <c:v>67483</c:v>
                </c:pt>
                <c:pt idx="41">
                  <c:v>247956.05880707825</c:v>
                </c:pt>
                <c:pt idx="42">
                  <c:v>180143.93108166006</c:v>
                </c:pt>
                <c:pt idx="43">
                  <c:v>265809.16198902001</c:v>
                </c:pt>
                <c:pt idx="44">
                  <c:v>255791</c:v>
                </c:pt>
                <c:pt idx="45">
                  <c:v>763401</c:v>
                </c:pt>
                <c:pt idx="46">
                  <c:v>1075049.11951944</c:v>
                </c:pt>
                <c:pt idx="47">
                  <c:v>854413</c:v>
                </c:pt>
                <c:pt idx="48">
                  <c:v>470586</c:v>
                </c:pt>
                <c:pt idx="49">
                  <c:v>341853</c:v>
                </c:pt>
                <c:pt idx="50">
                  <c:v>420779</c:v>
                </c:pt>
                <c:pt idx="51">
                  <c:v>230440</c:v>
                </c:pt>
                <c:pt idx="52">
                  <c:v>266316</c:v>
                </c:pt>
                <c:pt idx="53">
                  <c:v>618702.20867981261</c:v>
                </c:pt>
                <c:pt idx="54">
                  <c:v>261815.13589925895</c:v>
                </c:pt>
                <c:pt idx="55">
                  <c:v>487823</c:v>
                </c:pt>
              </c:numCache>
            </c:numRef>
          </c:val>
          <c:smooth val="1"/>
          <c:extLst>
            <c:ext xmlns:c16="http://schemas.microsoft.com/office/drawing/2014/chart" uri="{C3380CC4-5D6E-409C-BE32-E72D297353CC}">
              <c16:uniqueId val="{00000000-38D0-4A93-9AD2-4BA37E2A59B0}"/>
            </c:ext>
          </c:extLst>
        </c:ser>
        <c:dLbls>
          <c:showLegendKey val="0"/>
          <c:showVal val="0"/>
          <c:showCatName val="0"/>
          <c:showSerName val="0"/>
          <c:showPercent val="0"/>
          <c:showBubbleSize val="0"/>
        </c:dLbls>
        <c:marker val="1"/>
        <c:smooth val="0"/>
        <c:axId val="745378048"/>
        <c:axId val="745380016"/>
      </c:lineChart>
      <c:lineChart>
        <c:grouping val="standard"/>
        <c:varyColors val="0"/>
        <c:ser>
          <c:idx val="1"/>
          <c:order val="1"/>
          <c:tx>
            <c:strRef>
              <c:f>'BO Volumes'!$E$4</c:f>
              <c:strCache>
                <c:ptCount val="1"/>
                <c:pt idx="0">
                  <c:v>Rejected Sum USD</c:v>
                </c:pt>
              </c:strCache>
            </c:strRef>
          </c:tx>
          <c:spPr>
            <a:ln w="28575" cap="rnd">
              <a:solidFill>
                <a:schemeClr val="accent2"/>
              </a:solidFill>
              <a:round/>
            </a:ln>
            <a:effectLst/>
          </c:spPr>
          <c:marker>
            <c:symbol val="none"/>
          </c:marker>
          <c:cat>
            <c:multiLvlStrRef>
              <c:f>'BO Volumes'!#REF!</c:f>
            </c:multiLvlStrRef>
          </c:cat>
          <c:val>
            <c:numRef>
              <c:f>'BO Volumes'!$E$5:$E$60</c:f>
              <c:numCache>
                <c:formatCode>#,##0</c:formatCode>
                <c:ptCount val="56"/>
                <c:pt idx="0">
                  <c:v>34381.250392320006</c:v>
                </c:pt>
                <c:pt idx="1">
                  <c:v>9321.5708227200012</c:v>
                </c:pt>
                <c:pt idx="2">
                  <c:v>9541.62411488</c:v>
                </c:pt>
                <c:pt idx="3">
                  <c:v>15616.500490240012</c:v>
                </c:pt>
                <c:pt idx="4">
                  <c:v>89970.483349759699</c:v>
                </c:pt>
                <c:pt idx="5">
                  <c:v>296266.14413144125</c:v>
                </c:pt>
                <c:pt idx="6">
                  <c:v>146499</c:v>
                </c:pt>
                <c:pt idx="7">
                  <c:v>62964.996849664545</c:v>
                </c:pt>
                <c:pt idx="8">
                  <c:v>58884.589548096759</c:v>
                </c:pt>
                <c:pt idx="9">
                  <c:v>44292.476617459652</c:v>
                </c:pt>
                <c:pt idx="10">
                  <c:v>51987.99577720357</c:v>
                </c:pt>
                <c:pt idx="11">
                  <c:v>55568.314464000432</c:v>
                </c:pt>
                <c:pt idx="12">
                  <c:v>62846.602698547671</c:v>
                </c:pt>
                <c:pt idx="13">
                  <c:v>42620</c:v>
                </c:pt>
                <c:pt idx="14">
                  <c:v>30785.866729779376</c:v>
                </c:pt>
                <c:pt idx="15">
                  <c:v>13658.771095091177</c:v>
                </c:pt>
                <c:pt idx="16">
                  <c:v>26919.737352763033</c:v>
                </c:pt>
                <c:pt idx="17">
                  <c:v>44022.670589939131</c:v>
                </c:pt>
                <c:pt idx="18">
                  <c:v>101413.48845539242</c:v>
                </c:pt>
                <c:pt idx="19">
                  <c:v>95772</c:v>
                </c:pt>
                <c:pt idx="20">
                  <c:v>295594.89309061895</c:v>
                </c:pt>
                <c:pt idx="21">
                  <c:v>252692.93053765679</c:v>
                </c:pt>
                <c:pt idx="22">
                  <c:v>173722.2053702735</c:v>
                </c:pt>
                <c:pt idx="23">
                  <c:v>149563.00575812763</c:v>
                </c:pt>
                <c:pt idx="24">
                  <c:v>160693.84486119566</c:v>
                </c:pt>
                <c:pt idx="25">
                  <c:v>97875.009749601988</c:v>
                </c:pt>
                <c:pt idx="26">
                  <c:v>65883.444139999716</c:v>
                </c:pt>
                <c:pt idx="27">
                  <c:v>40298.479504399831</c:v>
                </c:pt>
                <c:pt idx="28">
                  <c:v>46958.163909599542</c:v>
                </c:pt>
                <c:pt idx="29">
                  <c:v>50138.672266799338</c:v>
                </c:pt>
                <c:pt idx="30">
                  <c:v>43881.351534399277</c:v>
                </c:pt>
                <c:pt idx="31">
                  <c:v>25637.81993359996</c:v>
                </c:pt>
                <c:pt idx="32">
                  <c:v>15528</c:v>
                </c:pt>
                <c:pt idx="33">
                  <c:v>21362</c:v>
                </c:pt>
                <c:pt idx="34">
                  <c:v>18839.612144000002</c:v>
                </c:pt>
                <c:pt idx="35">
                  <c:v>91117.867673999674</c:v>
                </c:pt>
                <c:pt idx="36">
                  <c:v>228433.14024359264</c:v>
                </c:pt>
                <c:pt idx="37">
                  <c:v>31929</c:v>
                </c:pt>
                <c:pt idx="38">
                  <c:v>137045.94327761955</c:v>
                </c:pt>
                <c:pt idx="39">
                  <c:v>41959</c:v>
                </c:pt>
                <c:pt idx="40">
                  <c:v>16937</c:v>
                </c:pt>
                <c:pt idx="41">
                  <c:v>72484.741939739441</c:v>
                </c:pt>
                <c:pt idx="42">
                  <c:v>89773</c:v>
                </c:pt>
                <c:pt idx="43">
                  <c:v>145798.30775405982</c:v>
                </c:pt>
                <c:pt idx="44">
                  <c:v>73345</c:v>
                </c:pt>
                <c:pt idx="45">
                  <c:v>140503</c:v>
                </c:pt>
                <c:pt idx="46">
                  <c:v>240214.37392758171</c:v>
                </c:pt>
                <c:pt idx="47">
                  <c:v>302592</c:v>
                </c:pt>
                <c:pt idx="48">
                  <c:v>160829</c:v>
                </c:pt>
                <c:pt idx="49">
                  <c:v>125391</c:v>
                </c:pt>
                <c:pt idx="50">
                  <c:v>190788</c:v>
                </c:pt>
                <c:pt idx="51">
                  <c:v>76908</c:v>
                </c:pt>
                <c:pt idx="52">
                  <c:v>112398</c:v>
                </c:pt>
                <c:pt idx="53">
                  <c:v>431990.52872669592</c:v>
                </c:pt>
                <c:pt idx="54">
                  <c:v>57939.017157104005</c:v>
                </c:pt>
                <c:pt idx="55">
                  <c:v>146830</c:v>
                </c:pt>
              </c:numCache>
            </c:numRef>
          </c:val>
          <c:smooth val="1"/>
          <c:extLst>
            <c:ext xmlns:c16="http://schemas.microsoft.com/office/drawing/2014/chart" uri="{C3380CC4-5D6E-409C-BE32-E72D297353CC}">
              <c16:uniqueId val="{00000001-38D0-4A93-9AD2-4BA37E2A59B0}"/>
            </c:ext>
          </c:extLst>
        </c:ser>
        <c:dLbls>
          <c:showLegendKey val="0"/>
          <c:showVal val="0"/>
          <c:showCatName val="0"/>
          <c:showSerName val="0"/>
          <c:showPercent val="0"/>
          <c:showBubbleSize val="0"/>
        </c:dLbls>
        <c:marker val="1"/>
        <c:smooth val="0"/>
        <c:axId val="745389528"/>
        <c:axId val="745381984"/>
      </c:lineChart>
      <c:catAx>
        <c:axId val="74537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ru-RU"/>
          </a:p>
        </c:txPr>
        <c:crossAx val="745380016"/>
        <c:crosses val="autoZero"/>
        <c:auto val="1"/>
        <c:lblAlgn val="ctr"/>
        <c:lblOffset val="100"/>
        <c:noMultiLvlLbl val="0"/>
      </c:catAx>
      <c:valAx>
        <c:axId val="745380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45378048"/>
        <c:crosses val="autoZero"/>
        <c:crossBetween val="between"/>
      </c:valAx>
      <c:valAx>
        <c:axId val="745381984"/>
        <c:scaling>
          <c:orientation val="minMax"/>
        </c:scaling>
        <c:delete val="0"/>
        <c:axPos val="r"/>
        <c:numFmt formatCode="#,##0" sourceLinked="1"/>
        <c:majorTickMark val="out"/>
        <c:minorTickMark val="none"/>
        <c:tickLblPos val="nextTo"/>
        <c:spPr>
          <a:solidFill>
            <a:schemeClr val="accent2">
              <a:lumMod val="20000"/>
              <a:lumOff val="80000"/>
            </a:schemeClr>
          </a:solid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ru-RU"/>
          </a:p>
        </c:txPr>
        <c:crossAx val="745389528"/>
        <c:crosses val="max"/>
        <c:crossBetween val="between"/>
      </c:valAx>
      <c:catAx>
        <c:axId val="745389528"/>
        <c:scaling>
          <c:orientation val="minMax"/>
        </c:scaling>
        <c:delete val="1"/>
        <c:axPos val="b"/>
        <c:numFmt formatCode="General" sourceLinked="1"/>
        <c:majorTickMark val="out"/>
        <c:minorTickMark val="none"/>
        <c:tickLblPos val="nextTo"/>
        <c:crossAx val="7453819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'BO Volumes'!$B$4</c:f>
              <c:strCache>
                <c:ptCount val="1"/>
                <c:pt idx="0">
                  <c:v>Total Packs</c:v>
                </c:pt>
              </c:strCache>
            </c:strRef>
          </c:tx>
          <c:spPr>
            <a:ln w="28575" cap="rnd">
              <a:solidFill>
                <a:schemeClr val="accent1"/>
              </a:solidFill>
              <a:round/>
            </a:ln>
            <a:effectLst/>
          </c:spPr>
          <c:marker>
            <c:symbol val="none"/>
          </c:marker>
          <c:cat>
            <c:strRef>
              <c:f>'BO Volumes'!$A$5:$A$60</c:f>
              <c:strCache>
                <c:ptCount val="56"/>
                <c:pt idx="0">
                  <c:v>November</c:v>
                </c:pt>
                <c:pt idx="1">
                  <c:v>December</c:v>
                </c:pt>
                <c:pt idx="2">
                  <c:v>January</c:v>
                </c:pt>
                <c:pt idx="3">
                  <c:v>February</c:v>
                </c:pt>
                <c:pt idx="4">
                  <c:v>March</c:v>
                </c:pt>
                <c:pt idx="5">
                  <c:v>April</c:v>
                </c:pt>
                <c:pt idx="6">
                  <c:v>May</c:v>
                </c:pt>
                <c:pt idx="7">
                  <c:v>June</c:v>
                </c:pt>
                <c:pt idx="8">
                  <c:v>July</c:v>
                </c:pt>
                <c:pt idx="9">
                  <c:v>August</c:v>
                </c:pt>
                <c:pt idx="10">
                  <c:v>September</c:v>
                </c:pt>
                <c:pt idx="11">
                  <c:v>October</c:v>
                </c:pt>
                <c:pt idx="12">
                  <c:v>November</c:v>
                </c:pt>
                <c:pt idx="13">
                  <c:v>December</c:v>
                </c:pt>
                <c:pt idx="14">
                  <c:v>Januarry</c:v>
                </c:pt>
                <c:pt idx="15">
                  <c:v>February</c:v>
                </c:pt>
                <c:pt idx="16">
                  <c:v>March</c:v>
                </c:pt>
                <c:pt idx="17">
                  <c:v>April</c:v>
                </c:pt>
                <c:pt idx="18">
                  <c:v>May</c:v>
                </c:pt>
                <c:pt idx="19">
                  <c:v>June</c:v>
                </c:pt>
                <c:pt idx="20">
                  <c:v>July</c:v>
                </c:pt>
                <c:pt idx="21">
                  <c:v>August</c:v>
                </c:pt>
                <c:pt idx="22">
                  <c:v>September</c:v>
                </c:pt>
                <c:pt idx="23">
                  <c:v>October</c:v>
                </c:pt>
                <c:pt idx="24">
                  <c:v>November</c:v>
                </c:pt>
                <c:pt idx="25">
                  <c:v>December</c:v>
                </c:pt>
                <c:pt idx="26">
                  <c:v>January 2024</c:v>
                </c:pt>
                <c:pt idx="27">
                  <c:v>February</c:v>
                </c:pt>
                <c:pt idx="28">
                  <c:v>March</c:v>
                </c:pt>
                <c:pt idx="29">
                  <c:v>April</c:v>
                </c:pt>
                <c:pt idx="30">
                  <c:v>May</c:v>
                </c:pt>
                <c:pt idx="31">
                  <c:v>June</c:v>
                </c:pt>
                <c:pt idx="32">
                  <c:v>July</c:v>
                </c:pt>
                <c:pt idx="33">
                  <c:v>August</c:v>
                </c:pt>
                <c:pt idx="34">
                  <c:v>September</c:v>
                </c:pt>
                <c:pt idx="35">
                  <c:v>October</c:v>
                </c:pt>
                <c:pt idx="36">
                  <c:v>November</c:v>
                </c:pt>
                <c:pt idx="37">
                  <c:v>December</c:v>
                </c:pt>
                <c:pt idx="38">
                  <c:v>January 2025</c:v>
                </c:pt>
                <c:pt idx="39">
                  <c:v>February</c:v>
                </c:pt>
                <c:pt idx="40">
                  <c:v>March</c:v>
                </c:pt>
                <c:pt idx="41">
                  <c:v>April</c:v>
                </c:pt>
                <c:pt idx="42">
                  <c:v>May</c:v>
                </c:pt>
                <c:pt idx="43">
                  <c:v>June</c:v>
                </c:pt>
                <c:pt idx="44">
                  <c:v>July</c:v>
                </c:pt>
                <c:pt idx="45">
                  <c:v>August</c:v>
                </c:pt>
                <c:pt idx="46">
                  <c:v>September</c:v>
                </c:pt>
                <c:pt idx="47">
                  <c:v>October</c:v>
                </c:pt>
                <c:pt idx="48">
                  <c:v>November</c:v>
                </c:pt>
                <c:pt idx="49">
                  <c:v>December</c:v>
                </c:pt>
                <c:pt idx="50">
                  <c:v>January</c:v>
                </c:pt>
                <c:pt idx="51">
                  <c:v>February </c:v>
                </c:pt>
                <c:pt idx="52">
                  <c:v>March</c:v>
                </c:pt>
                <c:pt idx="53">
                  <c:v>April</c:v>
                </c:pt>
                <c:pt idx="54">
                  <c:v>May</c:v>
                </c:pt>
                <c:pt idx="55">
                  <c:v>June</c:v>
                </c:pt>
              </c:strCache>
            </c:strRef>
          </c:cat>
          <c:val>
            <c:numRef>
              <c:f>'BO Volumes'!$B$5:$B$60</c:f>
              <c:numCache>
                <c:formatCode>#,##0</c:formatCode>
                <c:ptCount val="56"/>
                <c:pt idx="0">
                  <c:v>25825</c:v>
                </c:pt>
                <c:pt idx="1">
                  <c:v>8650</c:v>
                </c:pt>
                <c:pt idx="2">
                  <c:v>8301</c:v>
                </c:pt>
                <c:pt idx="3">
                  <c:v>6854</c:v>
                </c:pt>
                <c:pt idx="4">
                  <c:v>23445</c:v>
                </c:pt>
                <c:pt idx="5">
                  <c:v>34034</c:v>
                </c:pt>
                <c:pt idx="6">
                  <c:v>18963</c:v>
                </c:pt>
                <c:pt idx="7">
                  <c:v>13180</c:v>
                </c:pt>
                <c:pt idx="8">
                  <c:v>13753</c:v>
                </c:pt>
                <c:pt idx="9">
                  <c:v>12621</c:v>
                </c:pt>
                <c:pt idx="10">
                  <c:v>16554</c:v>
                </c:pt>
                <c:pt idx="11">
                  <c:v>16359</c:v>
                </c:pt>
                <c:pt idx="12">
                  <c:v>24169</c:v>
                </c:pt>
                <c:pt idx="13">
                  <c:v>17840</c:v>
                </c:pt>
                <c:pt idx="14">
                  <c:v>18145</c:v>
                </c:pt>
                <c:pt idx="15">
                  <c:v>17832</c:v>
                </c:pt>
                <c:pt idx="16">
                  <c:v>16033</c:v>
                </c:pt>
                <c:pt idx="17">
                  <c:v>19589</c:v>
                </c:pt>
                <c:pt idx="18">
                  <c:v>25929</c:v>
                </c:pt>
                <c:pt idx="19">
                  <c:v>28646</c:v>
                </c:pt>
                <c:pt idx="20">
                  <c:v>60693</c:v>
                </c:pt>
                <c:pt idx="21">
                  <c:v>79800</c:v>
                </c:pt>
                <c:pt idx="22">
                  <c:v>73804</c:v>
                </c:pt>
                <c:pt idx="23">
                  <c:v>69793</c:v>
                </c:pt>
                <c:pt idx="24">
                  <c:v>46741</c:v>
                </c:pt>
                <c:pt idx="25">
                  <c:v>39711</c:v>
                </c:pt>
                <c:pt idx="26">
                  <c:v>31591</c:v>
                </c:pt>
                <c:pt idx="27">
                  <c:v>32773</c:v>
                </c:pt>
                <c:pt idx="28">
                  <c:v>28366</c:v>
                </c:pt>
                <c:pt idx="29">
                  <c:v>22766</c:v>
                </c:pt>
                <c:pt idx="30">
                  <c:v>18443</c:v>
                </c:pt>
                <c:pt idx="31">
                  <c:v>13335</c:v>
                </c:pt>
                <c:pt idx="32">
                  <c:v>10947</c:v>
                </c:pt>
                <c:pt idx="33">
                  <c:v>9937</c:v>
                </c:pt>
                <c:pt idx="34">
                  <c:v>10670</c:v>
                </c:pt>
                <c:pt idx="35">
                  <c:v>26979</c:v>
                </c:pt>
                <c:pt idx="36">
                  <c:v>33802</c:v>
                </c:pt>
                <c:pt idx="37">
                  <c:v>20386</c:v>
                </c:pt>
                <c:pt idx="38">
                  <c:v>26356</c:v>
                </c:pt>
                <c:pt idx="39">
                  <c:v>16197</c:v>
                </c:pt>
                <c:pt idx="40">
                  <c:v>21181</c:v>
                </c:pt>
                <c:pt idx="41">
                  <c:v>20335</c:v>
                </c:pt>
                <c:pt idx="42">
                  <c:v>15491</c:v>
                </c:pt>
                <c:pt idx="43">
                  <c:v>25770</c:v>
                </c:pt>
                <c:pt idx="44">
                  <c:v>16823</c:v>
                </c:pt>
                <c:pt idx="45">
                  <c:v>32908</c:v>
                </c:pt>
                <c:pt idx="46">
                  <c:v>45200</c:v>
                </c:pt>
                <c:pt idx="47">
                  <c:v>47637</c:v>
                </c:pt>
                <c:pt idx="48">
                  <c:v>33897</c:v>
                </c:pt>
                <c:pt idx="49">
                  <c:v>21836</c:v>
                </c:pt>
                <c:pt idx="50">
                  <c:v>22498</c:v>
                </c:pt>
                <c:pt idx="51">
                  <c:v>17523</c:v>
                </c:pt>
                <c:pt idx="52">
                  <c:v>19434</c:v>
                </c:pt>
                <c:pt idx="53">
                  <c:v>34143</c:v>
                </c:pt>
                <c:pt idx="54">
                  <c:v>25786</c:v>
                </c:pt>
                <c:pt idx="55">
                  <c:v>44889</c:v>
                </c:pt>
              </c:numCache>
            </c:numRef>
          </c:val>
          <c:smooth val="1"/>
          <c:extLst>
            <c:ext xmlns:c16="http://schemas.microsoft.com/office/drawing/2014/chart" uri="{C3380CC4-5D6E-409C-BE32-E72D297353CC}">
              <c16:uniqueId val="{00000000-DE75-48D5-868D-FAA28CE9A397}"/>
            </c:ext>
          </c:extLst>
        </c:ser>
        <c:ser>
          <c:idx val="1"/>
          <c:order val="1"/>
          <c:tx>
            <c:strRef>
              <c:f>'BO Volumes'!$D$4</c:f>
              <c:strCache>
                <c:ptCount val="1"/>
                <c:pt idx="0">
                  <c:v>Rejected Packs</c:v>
                </c:pt>
              </c:strCache>
            </c:strRef>
          </c:tx>
          <c:spPr>
            <a:ln w="28575" cap="rnd">
              <a:solidFill>
                <a:schemeClr val="accent2"/>
              </a:solidFill>
              <a:round/>
            </a:ln>
            <a:effectLst/>
          </c:spPr>
          <c:marker>
            <c:symbol val="none"/>
          </c:marker>
          <c:cat>
            <c:strRef>
              <c:f>'BO Volumes'!$A$5:$A$60</c:f>
              <c:strCache>
                <c:ptCount val="56"/>
                <c:pt idx="0">
                  <c:v>November</c:v>
                </c:pt>
                <c:pt idx="1">
                  <c:v>December</c:v>
                </c:pt>
                <c:pt idx="2">
                  <c:v>January</c:v>
                </c:pt>
                <c:pt idx="3">
                  <c:v>February</c:v>
                </c:pt>
                <c:pt idx="4">
                  <c:v>March</c:v>
                </c:pt>
                <c:pt idx="5">
                  <c:v>April</c:v>
                </c:pt>
                <c:pt idx="6">
                  <c:v>May</c:v>
                </c:pt>
                <c:pt idx="7">
                  <c:v>June</c:v>
                </c:pt>
                <c:pt idx="8">
                  <c:v>July</c:v>
                </c:pt>
                <c:pt idx="9">
                  <c:v>August</c:v>
                </c:pt>
                <c:pt idx="10">
                  <c:v>September</c:v>
                </c:pt>
                <c:pt idx="11">
                  <c:v>October</c:v>
                </c:pt>
                <c:pt idx="12">
                  <c:v>November</c:v>
                </c:pt>
                <c:pt idx="13">
                  <c:v>December</c:v>
                </c:pt>
                <c:pt idx="14">
                  <c:v>Januarry</c:v>
                </c:pt>
                <c:pt idx="15">
                  <c:v>February</c:v>
                </c:pt>
                <c:pt idx="16">
                  <c:v>March</c:v>
                </c:pt>
                <c:pt idx="17">
                  <c:v>April</c:v>
                </c:pt>
                <c:pt idx="18">
                  <c:v>May</c:v>
                </c:pt>
                <c:pt idx="19">
                  <c:v>June</c:v>
                </c:pt>
                <c:pt idx="20">
                  <c:v>July</c:v>
                </c:pt>
                <c:pt idx="21">
                  <c:v>August</c:v>
                </c:pt>
                <c:pt idx="22">
                  <c:v>September</c:v>
                </c:pt>
                <c:pt idx="23">
                  <c:v>October</c:v>
                </c:pt>
                <c:pt idx="24">
                  <c:v>November</c:v>
                </c:pt>
                <c:pt idx="25">
                  <c:v>December</c:v>
                </c:pt>
                <c:pt idx="26">
                  <c:v>January 2024</c:v>
                </c:pt>
                <c:pt idx="27">
                  <c:v>February</c:v>
                </c:pt>
                <c:pt idx="28">
                  <c:v>March</c:v>
                </c:pt>
                <c:pt idx="29">
                  <c:v>April</c:v>
                </c:pt>
                <c:pt idx="30">
                  <c:v>May</c:v>
                </c:pt>
                <c:pt idx="31">
                  <c:v>June</c:v>
                </c:pt>
                <c:pt idx="32">
                  <c:v>July</c:v>
                </c:pt>
                <c:pt idx="33">
                  <c:v>August</c:v>
                </c:pt>
                <c:pt idx="34">
                  <c:v>September</c:v>
                </c:pt>
                <c:pt idx="35">
                  <c:v>October</c:v>
                </c:pt>
                <c:pt idx="36">
                  <c:v>November</c:v>
                </c:pt>
                <c:pt idx="37">
                  <c:v>December</c:v>
                </c:pt>
                <c:pt idx="38">
                  <c:v>January 2025</c:v>
                </c:pt>
                <c:pt idx="39">
                  <c:v>February</c:v>
                </c:pt>
                <c:pt idx="40">
                  <c:v>March</c:v>
                </c:pt>
                <c:pt idx="41">
                  <c:v>April</c:v>
                </c:pt>
                <c:pt idx="42">
                  <c:v>May</c:v>
                </c:pt>
                <c:pt idx="43">
                  <c:v>June</c:v>
                </c:pt>
                <c:pt idx="44">
                  <c:v>July</c:v>
                </c:pt>
                <c:pt idx="45">
                  <c:v>August</c:v>
                </c:pt>
                <c:pt idx="46">
                  <c:v>September</c:v>
                </c:pt>
                <c:pt idx="47">
                  <c:v>October</c:v>
                </c:pt>
                <c:pt idx="48">
                  <c:v>November</c:v>
                </c:pt>
                <c:pt idx="49">
                  <c:v>December</c:v>
                </c:pt>
                <c:pt idx="50">
                  <c:v>January</c:v>
                </c:pt>
                <c:pt idx="51">
                  <c:v>February </c:v>
                </c:pt>
                <c:pt idx="52">
                  <c:v>March</c:v>
                </c:pt>
                <c:pt idx="53">
                  <c:v>April</c:v>
                </c:pt>
                <c:pt idx="54">
                  <c:v>May</c:v>
                </c:pt>
                <c:pt idx="55">
                  <c:v>June</c:v>
                </c:pt>
              </c:strCache>
            </c:strRef>
          </c:cat>
          <c:val>
            <c:numRef>
              <c:f>'BO Volumes'!$D$5:$D$60</c:f>
              <c:numCache>
                <c:formatCode>#,##0</c:formatCode>
                <c:ptCount val="56"/>
                <c:pt idx="0">
                  <c:v>15393</c:v>
                </c:pt>
                <c:pt idx="1">
                  <c:v>1605</c:v>
                </c:pt>
                <c:pt idx="2">
                  <c:v>2415</c:v>
                </c:pt>
                <c:pt idx="3">
                  <c:v>1215</c:v>
                </c:pt>
                <c:pt idx="4">
                  <c:v>5545</c:v>
                </c:pt>
                <c:pt idx="5">
                  <c:v>17304</c:v>
                </c:pt>
                <c:pt idx="6">
                  <c:v>8046</c:v>
                </c:pt>
                <c:pt idx="7">
                  <c:v>5818</c:v>
                </c:pt>
                <c:pt idx="8">
                  <c:v>4190</c:v>
                </c:pt>
                <c:pt idx="9">
                  <c:v>3206</c:v>
                </c:pt>
                <c:pt idx="10">
                  <c:v>4005</c:v>
                </c:pt>
                <c:pt idx="11">
                  <c:v>4662</c:v>
                </c:pt>
                <c:pt idx="12">
                  <c:v>4499</c:v>
                </c:pt>
                <c:pt idx="13">
                  <c:v>3691</c:v>
                </c:pt>
                <c:pt idx="14">
                  <c:v>3804</c:v>
                </c:pt>
                <c:pt idx="15">
                  <c:v>3784</c:v>
                </c:pt>
                <c:pt idx="16">
                  <c:v>2739</c:v>
                </c:pt>
                <c:pt idx="17">
                  <c:v>3178</c:v>
                </c:pt>
                <c:pt idx="18">
                  <c:v>8367</c:v>
                </c:pt>
                <c:pt idx="19">
                  <c:v>6606</c:v>
                </c:pt>
                <c:pt idx="20">
                  <c:v>22916</c:v>
                </c:pt>
                <c:pt idx="21">
                  <c:v>19290</c:v>
                </c:pt>
                <c:pt idx="22">
                  <c:v>16840</c:v>
                </c:pt>
                <c:pt idx="23">
                  <c:v>15215</c:v>
                </c:pt>
                <c:pt idx="24">
                  <c:v>13007</c:v>
                </c:pt>
                <c:pt idx="25">
                  <c:v>10048</c:v>
                </c:pt>
                <c:pt idx="26">
                  <c:v>5451</c:v>
                </c:pt>
                <c:pt idx="27">
                  <c:v>3997</c:v>
                </c:pt>
                <c:pt idx="28">
                  <c:v>3842</c:v>
                </c:pt>
                <c:pt idx="29">
                  <c:v>2983</c:v>
                </c:pt>
                <c:pt idx="30">
                  <c:v>3850</c:v>
                </c:pt>
                <c:pt idx="31">
                  <c:v>2201</c:v>
                </c:pt>
                <c:pt idx="32">
                  <c:v>952</c:v>
                </c:pt>
                <c:pt idx="33">
                  <c:v>1058</c:v>
                </c:pt>
                <c:pt idx="34">
                  <c:v>1097</c:v>
                </c:pt>
                <c:pt idx="35">
                  <c:v>5415</c:v>
                </c:pt>
                <c:pt idx="36">
                  <c:v>12597</c:v>
                </c:pt>
                <c:pt idx="37">
                  <c:v>2957</c:v>
                </c:pt>
                <c:pt idx="38">
                  <c:v>8759</c:v>
                </c:pt>
                <c:pt idx="39">
                  <c:v>2690</c:v>
                </c:pt>
                <c:pt idx="40">
                  <c:v>3770</c:v>
                </c:pt>
                <c:pt idx="41">
                  <c:v>4821</c:v>
                </c:pt>
                <c:pt idx="42">
                  <c:v>6514</c:v>
                </c:pt>
                <c:pt idx="43">
                  <c:v>10833</c:v>
                </c:pt>
                <c:pt idx="44">
                  <c:v>3481</c:v>
                </c:pt>
                <c:pt idx="45">
                  <c:v>5275</c:v>
                </c:pt>
                <c:pt idx="46">
                  <c:v>8536</c:v>
                </c:pt>
                <c:pt idx="47">
                  <c:v>13817</c:v>
                </c:pt>
                <c:pt idx="48">
                  <c:v>10665</c:v>
                </c:pt>
                <c:pt idx="49">
                  <c:v>6416</c:v>
                </c:pt>
                <c:pt idx="50">
                  <c:v>9425</c:v>
                </c:pt>
                <c:pt idx="51">
                  <c:v>3721</c:v>
                </c:pt>
                <c:pt idx="52">
                  <c:v>5097</c:v>
                </c:pt>
                <c:pt idx="53">
                  <c:v>17240</c:v>
                </c:pt>
                <c:pt idx="54">
                  <c:v>4656</c:v>
                </c:pt>
                <c:pt idx="55">
                  <c:v>12529</c:v>
                </c:pt>
              </c:numCache>
            </c:numRef>
          </c:val>
          <c:smooth val="1"/>
          <c:extLst>
            <c:ext xmlns:c16="http://schemas.microsoft.com/office/drawing/2014/chart" uri="{C3380CC4-5D6E-409C-BE32-E72D297353CC}">
              <c16:uniqueId val="{00000001-DE75-48D5-868D-FAA28CE9A397}"/>
            </c:ext>
          </c:extLst>
        </c:ser>
        <c:dLbls>
          <c:showLegendKey val="0"/>
          <c:showVal val="0"/>
          <c:showCatName val="0"/>
          <c:showSerName val="0"/>
          <c:showPercent val="0"/>
          <c:showBubbleSize val="0"/>
        </c:dLbls>
        <c:smooth val="0"/>
        <c:axId val="745378048"/>
        <c:axId val="745380016"/>
      </c:lineChart>
      <c:catAx>
        <c:axId val="74537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45380016"/>
        <c:crosses val="autoZero"/>
        <c:auto val="1"/>
        <c:lblAlgn val="ctr"/>
        <c:lblOffset val="100"/>
        <c:noMultiLvlLbl val="0"/>
      </c:catAx>
      <c:valAx>
        <c:axId val="745380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4537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52979257673676E-2"/>
          <c:y val="7.2199665927959511E-2"/>
          <c:w val="0.86449294647815955"/>
          <c:h val="0.50954668739456888"/>
        </c:manualLayout>
      </c:layout>
      <c:areaChart>
        <c:grouping val="standard"/>
        <c:varyColors val="0"/>
        <c:ser>
          <c:idx val="0"/>
          <c:order val="0"/>
          <c:tx>
            <c:strRef>
              <c:f>Data!$B$3</c:f>
              <c:strCache>
                <c:ptCount val="1"/>
                <c:pt idx="0">
                  <c:v>MOH Total</c:v>
                </c:pt>
              </c:strCache>
            </c:strRef>
          </c:tx>
          <c:spPr>
            <a:solidFill>
              <a:schemeClr val="accent1"/>
            </a:solidFill>
            <a:ln>
              <a:noFill/>
            </a:ln>
            <a:effectLst/>
          </c:spP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Data!$C$3:$Z$3</c:f>
              <c:numCache>
                <c:formatCode>#\ ##0.0</c:formatCode>
                <c:ptCount val="24"/>
                <c:pt idx="0">
                  <c:v>5.3</c:v>
                </c:pt>
                <c:pt idx="1">
                  <c:v>5.5</c:v>
                </c:pt>
                <c:pt idx="2">
                  <c:v>5.1663463021374962</c:v>
                </c:pt>
                <c:pt idx="3">
                  <c:v>4.5</c:v>
                </c:pt>
                <c:pt idx="4">
                  <c:v>4.5</c:v>
                </c:pt>
                <c:pt idx="5">
                  <c:v>4.5</c:v>
                </c:pt>
                <c:pt idx="6">
                  <c:v>4.4000000000000004</c:v>
                </c:pt>
                <c:pt idx="7">
                  <c:v>5.6</c:v>
                </c:pt>
                <c:pt idx="8">
                  <c:v>6.2</c:v>
                </c:pt>
                <c:pt idx="9">
                  <c:v>4.5643509846704271</c:v>
                </c:pt>
                <c:pt idx="10">
                  <c:v>5.5046967730416689</c:v>
                </c:pt>
                <c:pt idx="11">
                  <c:v>5.1829711373408971</c:v>
                </c:pt>
                <c:pt idx="12">
                  <c:v>4.3498253867521939</c:v>
                </c:pt>
                <c:pt idx="13">
                  <c:v>5.1123806254673845</c:v>
                </c:pt>
                <c:pt idx="14">
                  <c:v>4.5952755930055771</c:v>
                </c:pt>
                <c:pt idx="15">
                  <c:v>3.9</c:v>
                </c:pt>
                <c:pt idx="16">
                  <c:v>4.0999999999999996</c:v>
                </c:pt>
                <c:pt idx="17">
                  <c:v>4.277947494168056</c:v>
                </c:pt>
                <c:pt idx="18">
                  <c:v>4.1157246545602337</c:v>
                </c:pt>
                <c:pt idx="19">
                  <c:v>5.6</c:v>
                </c:pt>
                <c:pt idx="20">
                  <c:v>5.8640411446389669</c:v>
                </c:pt>
                <c:pt idx="21">
                  <c:v>5.0680252286712566</c:v>
                </c:pt>
                <c:pt idx="22">
                  <c:v>6.2634963111221813</c:v>
                </c:pt>
                <c:pt idx="23">
                  <c:v>5.7700059872144003</c:v>
                </c:pt>
              </c:numCache>
            </c:numRef>
          </c:val>
          <c:extLst>
            <c:ext xmlns:c16="http://schemas.microsoft.com/office/drawing/2014/chart" uri="{C3380CC4-5D6E-409C-BE32-E72D297353CC}">
              <c16:uniqueId val="{00000000-391F-46C2-A447-67EA0B4C96C4}"/>
            </c:ext>
          </c:extLst>
        </c:ser>
        <c:dLbls>
          <c:showLegendKey val="0"/>
          <c:showVal val="0"/>
          <c:showCatName val="0"/>
          <c:showSerName val="0"/>
          <c:showPercent val="0"/>
          <c:showBubbleSize val="0"/>
        </c:dLbls>
        <c:axId val="819265776"/>
        <c:axId val="819269712"/>
      </c:areaChart>
      <c:lineChart>
        <c:grouping val="standard"/>
        <c:varyColors val="0"/>
        <c:ser>
          <c:idx val="1"/>
          <c:order val="1"/>
          <c:tx>
            <c:strRef>
              <c:f>Data!$B$5</c:f>
              <c:strCache>
                <c:ptCount val="1"/>
                <c:pt idx="0">
                  <c:v>MOH Toric</c:v>
                </c:pt>
              </c:strCache>
            </c:strRef>
          </c:tx>
          <c:spPr>
            <a:ln w="28575" cap="rnd">
              <a:solidFill>
                <a:schemeClr val="accent2"/>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Data!$C$5:$Z$5</c:f>
              <c:numCache>
                <c:formatCode>#\ ##0.0</c:formatCode>
                <c:ptCount val="24"/>
                <c:pt idx="0">
                  <c:v>5</c:v>
                </c:pt>
                <c:pt idx="1">
                  <c:v>5.3</c:v>
                </c:pt>
                <c:pt idx="2">
                  <c:v>4.8157474359559496</c:v>
                </c:pt>
                <c:pt idx="3">
                  <c:v>5.5</c:v>
                </c:pt>
                <c:pt idx="4">
                  <c:v>6.2730608402758659</c:v>
                </c:pt>
                <c:pt idx="5">
                  <c:v>6.2730608402758659</c:v>
                </c:pt>
                <c:pt idx="6">
                  <c:v>6.3470606849253146</c:v>
                </c:pt>
                <c:pt idx="7">
                  <c:v>6.9</c:v>
                </c:pt>
                <c:pt idx="8">
                  <c:v>7.181537588729122</c:v>
                </c:pt>
                <c:pt idx="9">
                  <c:v>6.4261963574929926</c:v>
                </c:pt>
                <c:pt idx="10">
                  <c:v>5.9897163536012288</c:v>
                </c:pt>
                <c:pt idx="11">
                  <c:v>5.3183452893961283</c:v>
                </c:pt>
                <c:pt idx="12">
                  <c:v>4.4458144616849582</c:v>
                </c:pt>
                <c:pt idx="13">
                  <c:v>4.0742557267389259</c:v>
                </c:pt>
                <c:pt idx="14">
                  <c:v>4.2794790145330044</c:v>
                </c:pt>
                <c:pt idx="15">
                  <c:v>4.0249145977745613</c:v>
                </c:pt>
                <c:pt idx="16">
                  <c:v>4</c:v>
                </c:pt>
                <c:pt idx="17">
                  <c:v>4.9992509012594226</c:v>
                </c:pt>
                <c:pt idx="18">
                  <c:v>5.6083199166587745</c:v>
                </c:pt>
                <c:pt idx="19">
                  <c:v>7.2</c:v>
                </c:pt>
                <c:pt idx="20">
                  <c:v>6.9891505436663763</c:v>
                </c:pt>
                <c:pt idx="21">
                  <c:v>7.7960055907867529</c:v>
                </c:pt>
                <c:pt idx="22">
                  <c:v>8.3130871852686958</c:v>
                </c:pt>
                <c:pt idx="23">
                  <c:v>9.269206830604185</c:v>
                </c:pt>
              </c:numCache>
            </c:numRef>
          </c:val>
          <c:smooth val="1"/>
          <c:extLst>
            <c:ext xmlns:c16="http://schemas.microsoft.com/office/drawing/2014/chart" uri="{C3380CC4-5D6E-409C-BE32-E72D297353CC}">
              <c16:uniqueId val="{00000001-391F-46C2-A447-67EA0B4C96C4}"/>
            </c:ext>
          </c:extLst>
        </c:ser>
        <c:ser>
          <c:idx val="3"/>
          <c:order val="2"/>
          <c:tx>
            <c:strRef>
              <c:f>Data!$B$4</c:f>
              <c:strCache>
                <c:ptCount val="1"/>
                <c:pt idx="0">
                  <c:v>MOH Sphere</c:v>
                </c:pt>
              </c:strCache>
            </c:strRef>
          </c:tx>
          <c:spPr>
            <a:ln w="28575" cap="rnd">
              <a:solidFill>
                <a:schemeClr val="accent4"/>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Data!$C$4:$Z$4</c:f>
              <c:numCache>
                <c:formatCode>#\ ##0.0</c:formatCode>
                <c:ptCount val="24"/>
                <c:pt idx="0">
                  <c:v>4.4000000000000004</c:v>
                </c:pt>
                <c:pt idx="1">
                  <c:v>4.5</c:v>
                </c:pt>
                <c:pt idx="2">
                  <c:v>4.2730699610898775</c:v>
                </c:pt>
                <c:pt idx="3">
                  <c:v>3.5</c:v>
                </c:pt>
                <c:pt idx="4">
                  <c:v>3.2788464624560256</c:v>
                </c:pt>
                <c:pt idx="5">
                  <c:v>3.2788464624560256</c:v>
                </c:pt>
                <c:pt idx="6">
                  <c:v>2.7763716498687492</c:v>
                </c:pt>
                <c:pt idx="7">
                  <c:v>4.0999999999999996</c:v>
                </c:pt>
                <c:pt idx="8">
                  <c:v>5.0671386930129199</c:v>
                </c:pt>
                <c:pt idx="9">
                  <c:v>3.304917211021821</c:v>
                </c:pt>
                <c:pt idx="10">
                  <c:v>4.2293668059928047</c:v>
                </c:pt>
                <c:pt idx="11">
                  <c:v>3.701593573988311</c:v>
                </c:pt>
                <c:pt idx="12">
                  <c:v>2.6200952520350835</c:v>
                </c:pt>
                <c:pt idx="13">
                  <c:v>3.5299779684581476</c:v>
                </c:pt>
                <c:pt idx="14">
                  <c:v>3.4124435645476714</c:v>
                </c:pt>
                <c:pt idx="15">
                  <c:v>2.4663288273465573</c:v>
                </c:pt>
                <c:pt idx="16">
                  <c:v>2.9</c:v>
                </c:pt>
                <c:pt idx="17">
                  <c:v>2.9452216013199477</c:v>
                </c:pt>
                <c:pt idx="18">
                  <c:v>2.9270921566192261</c:v>
                </c:pt>
                <c:pt idx="19">
                  <c:v>4.4000000000000004</c:v>
                </c:pt>
                <c:pt idx="20">
                  <c:v>5.0732434572464529</c:v>
                </c:pt>
                <c:pt idx="21">
                  <c:v>3.6822310268640219</c:v>
                </c:pt>
                <c:pt idx="22">
                  <c:v>5.0770435646757246</c:v>
                </c:pt>
                <c:pt idx="23">
                  <c:v>3.9826776312530874</c:v>
                </c:pt>
              </c:numCache>
            </c:numRef>
          </c:val>
          <c:smooth val="1"/>
          <c:extLst>
            <c:ext xmlns:c16="http://schemas.microsoft.com/office/drawing/2014/chart" uri="{C3380CC4-5D6E-409C-BE32-E72D297353CC}">
              <c16:uniqueId val="{00000000-9FA3-486F-AC31-289126A237A8}"/>
            </c:ext>
          </c:extLst>
        </c:ser>
        <c:ser>
          <c:idx val="4"/>
          <c:order val="3"/>
          <c:tx>
            <c:strRef>
              <c:f>Data!$B$6</c:f>
              <c:strCache>
                <c:ptCount val="1"/>
                <c:pt idx="0">
                  <c:v>MOH Target Sphere</c:v>
                </c:pt>
              </c:strCache>
            </c:strRef>
          </c:tx>
          <c:spPr>
            <a:ln w="28575" cap="rnd">
              <a:solidFill>
                <a:schemeClr val="accent5"/>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Data!$C$6:$Z$6</c:f>
              <c:numCache>
                <c:formatCode>#\ ##0.0</c:formatCode>
                <c:ptCount val="24"/>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pt idx="20">
                  <c:v>4</c:v>
                </c:pt>
                <c:pt idx="21">
                  <c:v>4</c:v>
                </c:pt>
                <c:pt idx="22">
                  <c:v>4</c:v>
                </c:pt>
                <c:pt idx="23">
                  <c:v>4</c:v>
                </c:pt>
              </c:numCache>
            </c:numRef>
          </c:val>
          <c:smooth val="0"/>
          <c:extLst>
            <c:ext xmlns:c16="http://schemas.microsoft.com/office/drawing/2014/chart" uri="{C3380CC4-5D6E-409C-BE32-E72D297353CC}">
              <c16:uniqueId val="{00000001-9FA3-486F-AC31-289126A237A8}"/>
            </c:ext>
          </c:extLst>
        </c:ser>
        <c:dLbls>
          <c:showLegendKey val="0"/>
          <c:showVal val="0"/>
          <c:showCatName val="0"/>
          <c:showSerName val="0"/>
          <c:showPercent val="0"/>
          <c:showBubbleSize val="0"/>
        </c:dLbls>
        <c:marker val="1"/>
        <c:smooth val="0"/>
        <c:axId val="819265776"/>
        <c:axId val="819269712"/>
      </c:lineChart>
      <c:catAx>
        <c:axId val="81926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ru-RU"/>
          </a:p>
        </c:txPr>
        <c:crossAx val="819269712"/>
        <c:crosses val="autoZero"/>
        <c:auto val="1"/>
        <c:lblAlgn val="ctr"/>
        <c:lblOffset val="100"/>
        <c:noMultiLvlLbl val="0"/>
      </c:catAx>
      <c:valAx>
        <c:axId val="819269712"/>
        <c:scaling>
          <c:orientation val="minMax"/>
          <c:max val="8"/>
          <c:min val="2"/>
        </c:scaling>
        <c:delete val="0"/>
        <c:axPos val="l"/>
        <c:majorGridlines>
          <c:spPr>
            <a:ln w="9525" cap="flat" cmpd="sng" algn="ctr">
              <a:solidFill>
                <a:schemeClr val="tx1">
                  <a:lumMod val="15000"/>
                  <a:lumOff val="85000"/>
                </a:schemeClr>
              </a:solidFill>
              <a:round/>
            </a:ln>
            <a:effectLst/>
          </c:spPr>
        </c:majorGridlines>
        <c:numFmt formatCode="#\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19265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Data!$B$38</c:f>
              <c:strCache>
                <c:ptCount val="1"/>
                <c:pt idx="0">
                  <c:v>3PL Goods receipt actual packs (inbound)</c:v>
                </c:pt>
              </c:strCache>
            </c:strRef>
          </c:tx>
          <c:spPr>
            <a:ln w="28575" cap="rnd">
              <a:solidFill>
                <a:schemeClr val="accent1"/>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Data!$C$38:$Z$38</c:f>
              <c:numCache>
                <c:formatCode>#,##0</c:formatCode>
                <c:ptCount val="24"/>
                <c:pt idx="0">
                  <c:v>410349</c:v>
                </c:pt>
                <c:pt idx="1">
                  <c:v>266211</c:v>
                </c:pt>
                <c:pt idx="2">
                  <c:v>212322</c:v>
                </c:pt>
                <c:pt idx="3">
                  <c:v>425363</c:v>
                </c:pt>
                <c:pt idx="4">
                  <c:v>389214</c:v>
                </c:pt>
                <c:pt idx="5">
                  <c:v>344107</c:v>
                </c:pt>
                <c:pt idx="6">
                  <c:v>248166</c:v>
                </c:pt>
                <c:pt idx="7">
                  <c:v>414294</c:v>
                </c:pt>
                <c:pt idx="8">
                  <c:v>387983</c:v>
                </c:pt>
                <c:pt idx="9">
                  <c:v>198946</c:v>
                </c:pt>
                <c:pt idx="10">
                  <c:v>349696</c:v>
                </c:pt>
                <c:pt idx="11">
                  <c:v>308371</c:v>
                </c:pt>
                <c:pt idx="12">
                  <c:v>263565</c:v>
                </c:pt>
                <c:pt idx="13">
                  <c:v>220007</c:v>
                </c:pt>
                <c:pt idx="14">
                  <c:v>424502</c:v>
                </c:pt>
                <c:pt idx="15">
                  <c:v>402555</c:v>
                </c:pt>
                <c:pt idx="16">
                  <c:v>368978</c:v>
                </c:pt>
                <c:pt idx="17">
                  <c:v>402271</c:v>
                </c:pt>
                <c:pt idx="18">
                  <c:v>369228</c:v>
                </c:pt>
                <c:pt idx="19">
                  <c:v>607412</c:v>
                </c:pt>
                <c:pt idx="20">
                  <c:v>639458</c:v>
                </c:pt>
                <c:pt idx="21">
                  <c:v>454429</c:v>
                </c:pt>
                <c:pt idx="22">
                  <c:v>371271</c:v>
                </c:pt>
                <c:pt idx="23">
                  <c:v>660167</c:v>
                </c:pt>
              </c:numCache>
            </c:numRef>
          </c:val>
          <c:smooth val="1"/>
          <c:extLst>
            <c:ext xmlns:c16="http://schemas.microsoft.com/office/drawing/2014/chart" uri="{C3380CC4-5D6E-409C-BE32-E72D297353CC}">
              <c16:uniqueId val="{00000000-7BE9-4EEE-A344-CB2B76F21604}"/>
            </c:ext>
          </c:extLst>
        </c:ser>
        <c:ser>
          <c:idx val="1"/>
          <c:order val="1"/>
          <c:tx>
            <c:strRef>
              <c:f>Data!$B$41</c:f>
              <c:strCache>
                <c:ptCount val="1"/>
                <c:pt idx="0">
                  <c:v>3PL Goods delivered (outbound)</c:v>
                </c:pt>
              </c:strCache>
            </c:strRef>
          </c:tx>
          <c:spPr>
            <a:ln w="28575" cap="rnd">
              <a:solidFill>
                <a:schemeClr val="accent2"/>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Data!$C$41:$Z$41</c:f>
              <c:numCache>
                <c:formatCode>#,##0</c:formatCode>
                <c:ptCount val="24"/>
                <c:pt idx="0">
                  <c:v>380678</c:v>
                </c:pt>
                <c:pt idx="1">
                  <c:v>318757</c:v>
                </c:pt>
                <c:pt idx="2">
                  <c:v>283748</c:v>
                </c:pt>
                <c:pt idx="3">
                  <c:v>440315</c:v>
                </c:pt>
                <c:pt idx="4">
                  <c:v>393997</c:v>
                </c:pt>
                <c:pt idx="5">
                  <c:v>233157</c:v>
                </c:pt>
                <c:pt idx="6">
                  <c:v>354365</c:v>
                </c:pt>
                <c:pt idx="7">
                  <c:v>262043</c:v>
                </c:pt>
                <c:pt idx="8">
                  <c:v>343684</c:v>
                </c:pt>
                <c:pt idx="9">
                  <c:v>440720</c:v>
                </c:pt>
                <c:pt idx="10">
                  <c:v>254593</c:v>
                </c:pt>
                <c:pt idx="11">
                  <c:v>308430</c:v>
                </c:pt>
                <c:pt idx="12">
                  <c:v>410553</c:v>
                </c:pt>
                <c:pt idx="13">
                  <c:v>254081</c:v>
                </c:pt>
                <c:pt idx="14">
                  <c:v>374096</c:v>
                </c:pt>
                <c:pt idx="15">
                  <c:v>483755</c:v>
                </c:pt>
                <c:pt idx="16">
                  <c:v>362278</c:v>
                </c:pt>
                <c:pt idx="17">
                  <c:v>345898</c:v>
                </c:pt>
                <c:pt idx="18">
                  <c:v>433110</c:v>
                </c:pt>
                <c:pt idx="19">
                  <c:v>311868</c:v>
                </c:pt>
                <c:pt idx="20">
                  <c:v>353796</c:v>
                </c:pt>
                <c:pt idx="21">
                  <c:v>498260</c:v>
                </c:pt>
                <c:pt idx="22">
                  <c:v>233525</c:v>
                </c:pt>
                <c:pt idx="23">
                  <c:v>481000</c:v>
                </c:pt>
              </c:numCache>
            </c:numRef>
          </c:val>
          <c:smooth val="1"/>
          <c:extLst>
            <c:ext xmlns:c16="http://schemas.microsoft.com/office/drawing/2014/chart" uri="{C3380CC4-5D6E-409C-BE32-E72D297353CC}">
              <c16:uniqueId val="{00000001-7BE9-4EEE-A344-CB2B76F21604}"/>
            </c:ext>
          </c:extLst>
        </c:ser>
        <c:dLbls>
          <c:showLegendKey val="0"/>
          <c:showVal val="0"/>
          <c:showCatName val="0"/>
          <c:showSerName val="0"/>
          <c:showPercent val="0"/>
          <c:showBubbleSize val="0"/>
        </c:dLbls>
        <c:smooth val="0"/>
        <c:axId val="798437704"/>
        <c:axId val="798439672"/>
      </c:lineChart>
      <c:catAx>
        <c:axId val="798437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98439672"/>
        <c:crosses val="autoZero"/>
        <c:auto val="1"/>
        <c:lblAlgn val="ctr"/>
        <c:lblOffset val="100"/>
        <c:noMultiLvlLbl val="0"/>
      </c:catAx>
      <c:valAx>
        <c:axId val="798439672"/>
        <c:scaling>
          <c:orientation val="minMax"/>
          <c:max val="700000"/>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98437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973954620082495"/>
          <c:y val="6.5947093691940198E-2"/>
          <c:w val="0.81779886359682818"/>
          <c:h val="0.58615215232927342"/>
        </c:manualLayout>
      </c:layout>
      <c:lineChart>
        <c:grouping val="standard"/>
        <c:varyColors val="0"/>
        <c:ser>
          <c:idx val="0"/>
          <c:order val="0"/>
          <c:tx>
            <c:strRef>
              <c:f>Data!$B$47</c:f>
              <c:strCache>
                <c:ptCount val="1"/>
                <c:pt idx="0">
                  <c:v>3PL Outbound Order line (Per Day) with Marketing and Labels</c:v>
                </c:pt>
              </c:strCache>
            </c:strRef>
          </c:tx>
          <c:spPr>
            <a:ln w="28575" cap="rnd">
              <a:solidFill>
                <a:schemeClr val="accent1"/>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Data!$C$47:$Z$47</c:f>
              <c:numCache>
                <c:formatCode>#,##0</c:formatCode>
                <c:ptCount val="24"/>
                <c:pt idx="0">
                  <c:v>6723</c:v>
                </c:pt>
                <c:pt idx="1">
                  <c:v>6349</c:v>
                </c:pt>
                <c:pt idx="2">
                  <c:v>6384</c:v>
                </c:pt>
                <c:pt idx="3">
                  <c:v>6852</c:v>
                </c:pt>
                <c:pt idx="4">
                  <c:v>6576.9047619047615</c:v>
                </c:pt>
                <c:pt idx="5">
                  <c:v>5576</c:v>
                </c:pt>
                <c:pt idx="6">
                  <c:v>7955</c:v>
                </c:pt>
                <c:pt idx="7">
                  <c:v>6018</c:v>
                </c:pt>
                <c:pt idx="8">
                  <c:v>6926.2857142857147</c:v>
                </c:pt>
                <c:pt idx="9">
                  <c:v>6999</c:v>
                </c:pt>
                <c:pt idx="10">
                  <c:v>6385</c:v>
                </c:pt>
                <c:pt idx="11">
                  <c:v>7303.1578947368425</c:v>
                </c:pt>
                <c:pt idx="12">
                  <c:v>6441</c:v>
                </c:pt>
                <c:pt idx="13">
                  <c:v>6099</c:v>
                </c:pt>
                <c:pt idx="14">
                  <c:v>7694</c:v>
                </c:pt>
                <c:pt idx="15">
                  <c:v>6782</c:v>
                </c:pt>
                <c:pt idx="16">
                  <c:v>8026.4736842105267</c:v>
                </c:pt>
                <c:pt idx="17">
                  <c:v>8514</c:v>
                </c:pt>
                <c:pt idx="18">
                  <c:v>11028</c:v>
                </c:pt>
                <c:pt idx="19">
                  <c:v>8986</c:v>
                </c:pt>
                <c:pt idx="20">
                  <c:v>9843.6666666666661</c:v>
                </c:pt>
                <c:pt idx="21">
                  <c:v>9734.318181818182</c:v>
                </c:pt>
              </c:numCache>
            </c:numRef>
          </c:val>
          <c:smooth val="1"/>
          <c:extLst>
            <c:ext xmlns:c16="http://schemas.microsoft.com/office/drawing/2014/chart" uri="{C3380CC4-5D6E-409C-BE32-E72D297353CC}">
              <c16:uniqueId val="{00000000-9D22-429C-846F-1480838CBEA3}"/>
            </c:ext>
          </c:extLst>
        </c:ser>
        <c:ser>
          <c:idx val="1"/>
          <c:order val="1"/>
          <c:tx>
            <c:strRef>
              <c:f>Data!$B$46</c:f>
              <c:strCache>
                <c:ptCount val="1"/>
                <c:pt idx="0">
                  <c:v>3PL Outbound Picking line (Per Day) with Marketing and Labels</c:v>
                </c:pt>
              </c:strCache>
            </c:strRef>
          </c:tx>
          <c:spPr>
            <a:ln w="28575" cap="rnd">
              <a:solidFill>
                <a:schemeClr val="accent2"/>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Data!$C$46:$Z$46</c:f>
              <c:numCache>
                <c:formatCode>#,##0</c:formatCode>
                <c:ptCount val="24"/>
                <c:pt idx="0">
                  <c:v>8518</c:v>
                </c:pt>
                <c:pt idx="1">
                  <c:v>7972</c:v>
                </c:pt>
                <c:pt idx="2">
                  <c:v>8161</c:v>
                </c:pt>
                <c:pt idx="3">
                  <c:v>8565</c:v>
                </c:pt>
                <c:pt idx="4">
                  <c:v>8030.4761904761908</c:v>
                </c:pt>
                <c:pt idx="5">
                  <c:v>6967</c:v>
                </c:pt>
                <c:pt idx="6">
                  <c:v>9985</c:v>
                </c:pt>
                <c:pt idx="7">
                  <c:v>7474</c:v>
                </c:pt>
                <c:pt idx="8">
                  <c:v>8961.9523809523816</c:v>
                </c:pt>
                <c:pt idx="9">
                  <c:v>8743</c:v>
                </c:pt>
                <c:pt idx="10">
                  <c:v>7912</c:v>
                </c:pt>
                <c:pt idx="11">
                  <c:v>9332.105263157895</c:v>
                </c:pt>
                <c:pt idx="12">
                  <c:v>8271</c:v>
                </c:pt>
                <c:pt idx="13">
                  <c:v>7683</c:v>
                </c:pt>
                <c:pt idx="14">
                  <c:v>9582</c:v>
                </c:pt>
                <c:pt idx="15">
                  <c:v>8364</c:v>
                </c:pt>
                <c:pt idx="16">
                  <c:v>9657.3684210526317</c:v>
                </c:pt>
                <c:pt idx="17">
                  <c:v>10154</c:v>
                </c:pt>
                <c:pt idx="18">
                  <c:v>10658</c:v>
                </c:pt>
                <c:pt idx="19">
                  <c:v>9663</c:v>
                </c:pt>
                <c:pt idx="20">
                  <c:v>9462.0476190476184</c:v>
                </c:pt>
                <c:pt idx="21">
                  <c:v>9338.136363636364</c:v>
                </c:pt>
              </c:numCache>
            </c:numRef>
          </c:val>
          <c:smooth val="1"/>
          <c:extLst>
            <c:ext xmlns:c16="http://schemas.microsoft.com/office/drawing/2014/chart" uri="{C3380CC4-5D6E-409C-BE32-E72D297353CC}">
              <c16:uniqueId val="{00000001-9D22-429C-846F-1480838CBEA3}"/>
            </c:ext>
          </c:extLst>
        </c:ser>
        <c:ser>
          <c:idx val="2"/>
          <c:order val="2"/>
          <c:tx>
            <c:strRef>
              <c:f>Data!$B$49</c:f>
              <c:strCache>
                <c:ptCount val="1"/>
                <c:pt idx="0">
                  <c:v>3PL Outbound Picking line Target</c:v>
                </c:pt>
              </c:strCache>
            </c:strRef>
          </c:tx>
          <c:spPr>
            <a:ln w="22225" cap="rnd">
              <a:solidFill>
                <a:schemeClr val="accent3"/>
              </a:solidFill>
              <a:prstDash val="solid"/>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Data!$C$49:$Z$49</c:f>
              <c:numCache>
                <c:formatCode>#,##0</c:formatCode>
                <c:ptCount val="24"/>
                <c:pt idx="0">
                  <c:v>8200</c:v>
                </c:pt>
                <c:pt idx="1">
                  <c:v>8400</c:v>
                </c:pt>
                <c:pt idx="2">
                  <c:v>9400</c:v>
                </c:pt>
                <c:pt idx="3">
                  <c:v>9200</c:v>
                </c:pt>
                <c:pt idx="4">
                  <c:v>10000</c:v>
                </c:pt>
                <c:pt idx="5">
                  <c:v>9800</c:v>
                </c:pt>
                <c:pt idx="6">
                  <c:v>11000</c:v>
                </c:pt>
                <c:pt idx="7">
                  <c:v>8700</c:v>
                </c:pt>
                <c:pt idx="8">
                  <c:v>9400</c:v>
                </c:pt>
                <c:pt idx="9">
                  <c:v>9500</c:v>
                </c:pt>
                <c:pt idx="10">
                  <c:v>8700</c:v>
                </c:pt>
                <c:pt idx="11">
                  <c:v>8700</c:v>
                </c:pt>
                <c:pt idx="12">
                  <c:v>9100</c:v>
                </c:pt>
                <c:pt idx="13">
                  <c:v>9300</c:v>
                </c:pt>
                <c:pt idx="14">
                  <c:v>10200</c:v>
                </c:pt>
                <c:pt idx="15">
                  <c:v>9878</c:v>
                </c:pt>
                <c:pt idx="16">
                  <c:v>11300</c:v>
                </c:pt>
                <c:pt idx="17">
                  <c:v>7800</c:v>
                </c:pt>
                <c:pt idx="18">
                  <c:v>12100</c:v>
                </c:pt>
                <c:pt idx="19">
                  <c:v>9800</c:v>
                </c:pt>
                <c:pt idx="20">
                  <c:v>8900</c:v>
                </c:pt>
              </c:numCache>
            </c:numRef>
          </c:val>
          <c:smooth val="1"/>
          <c:extLst>
            <c:ext xmlns:c16="http://schemas.microsoft.com/office/drawing/2014/chart" uri="{C3380CC4-5D6E-409C-BE32-E72D297353CC}">
              <c16:uniqueId val="{00000002-9D22-429C-846F-1480838CBEA3}"/>
            </c:ext>
          </c:extLst>
        </c:ser>
        <c:dLbls>
          <c:showLegendKey val="0"/>
          <c:showVal val="0"/>
          <c:showCatName val="0"/>
          <c:showSerName val="0"/>
          <c:showPercent val="0"/>
          <c:showBubbleSize val="0"/>
        </c:dLbls>
        <c:smooth val="0"/>
        <c:axId val="777321160"/>
        <c:axId val="777316240"/>
      </c:lineChart>
      <c:catAx>
        <c:axId val="777321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77316240"/>
        <c:crosses val="autoZero"/>
        <c:auto val="1"/>
        <c:lblAlgn val="ctr"/>
        <c:lblOffset val="100"/>
        <c:noMultiLvlLbl val="0"/>
      </c:catAx>
      <c:valAx>
        <c:axId val="777316240"/>
        <c:scaling>
          <c:orientation val="minMax"/>
          <c:max val="13000"/>
          <c:min val="4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77321160"/>
        <c:crosses val="autoZero"/>
        <c:crossBetween val="between"/>
      </c:valAx>
      <c:spPr>
        <a:noFill/>
        <a:ln>
          <a:noFill/>
        </a:ln>
        <a:effectLst/>
      </c:spPr>
    </c:plotArea>
    <c:legend>
      <c:legendPos val="b"/>
      <c:layout>
        <c:manualLayout>
          <c:xMode val="edge"/>
          <c:yMode val="edge"/>
          <c:x val="6.2748474293972661E-3"/>
          <c:y val="0.82912501105901093"/>
          <c:w val="0.95947192921639524"/>
          <c:h val="0.17087511093487415"/>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Data!$B$53</c:f>
              <c:strCache>
                <c:ptCount val="1"/>
                <c:pt idx="0">
                  <c:v>Pick &amp; Pack accuracy</c:v>
                </c:pt>
              </c:strCache>
            </c:strRef>
          </c:tx>
          <c:spPr>
            <a:ln w="28575" cap="rnd">
              <a:solidFill>
                <a:schemeClr val="accent1"/>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Data!$C$53:$Z$53</c:f>
              <c:numCache>
                <c:formatCode>0.0%</c:formatCode>
                <c:ptCount val="24"/>
                <c:pt idx="0">
                  <c:v>0.99819999999999998</c:v>
                </c:pt>
                <c:pt idx="1">
                  <c:v>0.99790000000000001</c:v>
                </c:pt>
                <c:pt idx="2">
                  <c:v>0.99819999999999998</c:v>
                </c:pt>
                <c:pt idx="3">
                  <c:v>0.99880000000000002</c:v>
                </c:pt>
                <c:pt idx="4">
                  <c:v>0.99773171685569029</c:v>
                </c:pt>
                <c:pt idx="5">
                  <c:v>0.99860000000000004</c:v>
                </c:pt>
                <c:pt idx="6">
                  <c:v>0.99870000000000003</c:v>
                </c:pt>
                <c:pt idx="7">
                  <c:v>0.999</c:v>
                </c:pt>
                <c:pt idx="8">
                  <c:v>0.99913737330170371</c:v>
                </c:pt>
                <c:pt idx="9">
                  <c:v>0.99909999999999999</c:v>
                </c:pt>
                <c:pt idx="10">
                  <c:v>0.99929999999999997</c:v>
                </c:pt>
                <c:pt idx="11">
                  <c:v>0.99878179863848082</c:v>
                </c:pt>
                <c:pt idx="12">
                  <c:v>0.99878179863848082</c:v>
                </c:pt>
                <c:pt idx="13">
                  <c:v>0.99890000000000001</c:v>
                </c:pt>
                <c:pt idx="14" formatCode="0.00%">
                  <c:v>0.99990000000000001</c:v>
                </c:pt>
                <c:pt idx="15">
                  <c:v>0.99850000000000005</c:v>
                </c:pt>
                <c:pt idx="16">
                  <c:v>0.99880000000000002</c:v>
                </c:pt>
                <c:pt idx="17">
                  <c:v>0.99839999999999995</c:v>
                </c:pt>
                <c:pt idx="18">
                  <c:v>0.998</c:v>
                </c:pt>
                <c:pt idx="19">
                  <c:v>0.998</c:v>
                </c:pt>
                <c:pt idx="20">
                  <c:v>0.99839999999999995</c:v>
                </c:pt>
                <c:pt idx="21">
                  <c:v>0.99835547122074642</c:v>
                </c:pt>
                <c:pt idx="22">
                  <c:v>0.99628059856413809</c:v>
                </c:pt>
                <c:pt idx="23">
                  <c:v>0.99709999999999999</c:v>
                </c:pt>
              </c:numCache>
            </c:numRef>
          </c:val>
          <c:smooth val="1"/>
          <c:extLst>
            <c:ext xmlns:c16="http://schemas.microsoft.com/office/drawing/2014/chart" uri="{C3380CC4-5D6E-409C-BE32-E72D297353CC}">
              <c16:uniqueId val="{00000000-3845-40CE-911B-545588713CBA}"/>
            </c:ext>
          </c:extLst>
        </c:ser>
        <c:ser>
          <c:idx val="1"/>
          <c:order val="1"/>
          <c:tx>
            <c:strRef>
              <c:f>Data!$B$54</c:f>
              <c:strCache>
                <c:ptCount val="1"/>
                <c:pt idx="0">
                  <c:v>Pick &amp; Pack accuracy Target</c:v>
                </c:pt>
              </c:strCache>
            </c:strRef>
          </c:tx>
          <c:spPr>
            <a:ln w="28575" cap="rnd">
              <a:solidFill>
                <a:schemeClr val="accent2"/>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Data!$C$54:$Z$54</c:f>
              <c:numCache>
                <c:formatCode>0.0%</c:formatCode>
                <c:ptCount val="24"/>
                <c:pt idx="0">
                  <c:v>0.99</c:v>
                </c:pt>
                <c:pt idx="1">
                  <c:v>0.99</c:v>
                </c:pt>
                <c:pt idx="2">
                  <c:v>0.99</c:v>
                </c:pt>
                <c:pt idx="3">
                  <c:v>0.99</c:v>
                </c:pt>
                <c:pt idx="4">
                  <c:v>0.99</c:v>
                </c:pt>
                <c:pt idx="5">
                  <c:v>0.99</c:v>
                </c:pt>
                <c:pt idx="6">
                  <c:v>0.99</c:v>
                </c:pt>
                <c:pt idx="7">
                  <c:v>0.99</c:v>
                </c:pt>
                <c:pt idx="8">
                  <c:v>0.99</c:v>
                </c:pt>
                <c:pt idx="9">
                  <c:v>0.99</c:v>
                </c:pt>
                <c:pt idx="10">
                  <c:v>0.99</c:v>
                </c:pt>
                <c:pt idx="11">
                  <c:v>0.99</c:v>
                </c:pt>
                <c:pt idx="12">
                  <c:v>0.99</c:v>
                </c:pt>
                <c:pt idx="13">
                  <c:v>0.99</c:v>
                </c:pt>
                <c:pt idx="14">
                  <c:v>0.99</c:v>
                </c:pt>
                <c:pt idx="15">
                  <c:v>0.99</c:v>
                </c:pt>
                <c:pt idx="16">
                  <c:v>0.99</c:v>
                </c:pt>
                <c:pt idx="17">
                  <c:v>0.99</c:v>
                </c:pt>
                <c:pt idx="18">
                  <c:v>0.99</c:v>
                </c:pt>
                <c:pt idx="19">
                  <c:v>0.99</c:v>
                </c:pt>
                <c:pt idx="20">
                  <c:v>0.99</c:v>
                </c:pt>
                <c:pt idx="21">
                  <c:v>0.99</c:v>
                </c:pt>
                <c:pt idx="22">
                  <c:v>0.99</c:v>
                </c:pt>
                <c:pt idx="23">
                  <c:v>0.99</c:v>
                </c:pt>
              </c:numCache>
            </c:numRef>
          </c:val>
          <c:smooth val="0"/>
          <c:extLst>
            <c:ext xmlns:c16="http://schemas.microsoft.com/office/drawing/2014/chart" uri="{C3380CC4-5D6E-409C-BE32-E72D297353CC}">
              <c16:uniqueId val="{00000001-3845-40CE-911B-545588713CBA}"/>
            </c:ext>
          </c:extLst>
        </c:ser>
        <c:dLbls>
          <c:showLegendKey val="0"/>
          <c:showVal val="0"/>
          <c:showCatName val="0"/>
          <c:showSerName val="0"/>
          <c:showPercent val="0"/>
          <c:showBubbleSize val="0"/>
        </c:dLbls>
        <c:smooth val="0"/>
        <c:axId val="1908651823"/>
        <c:axId val="1908648495"/>
      </c:lineChart>
      <c:catAx>
        <c:axId val="190865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908648495"/>
        <c:crosses val="autoZero"/>
        <c:auto val="1"/>
        <c:lblAlgn val="ctr"/>
        <c:lblOffset val="100"/>
        <c:noMultiLvlLbl val="0"/>
      </c:catAx>
      <c:valAx>
        <c:axId val="1908648495"/>
        <c:scaling>
          <c:orientation val="minMax"/>
          <c:max val="1"/>
          <c:min val="0.997"/>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908651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Data!$B$8</c:f>
              <c:strCache>
                <c:ptCount val="1"/>
                <c:pt idx="0">
                  <c:v>OOS Total</c:v>
                </c:pt>
              </c:strCache>
            </c:strRef>
          </c:tx>
          <c:spPr>
            <a:solidFill>
              <a:schemeClr val="accent1"/>
            </a:solidFill>
            <a:ln>
              <a:noFill/>
            </a:ln>
            <a:effectLst/>
          </c:spP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Data!$C$8:$Z$8</c:f>
              <c:numCache>
                <c:formatCode>0.0%</c:formatCode>
                <c:ptCount val="24"/>
                <c:pt idx="0">
                  <c:v>1.9E-2</c:v>
                </c:pt>
                <c:pt idx="1">
                  <c:v>1.2800000000000001E-2</c:v>
                </c:pt>
                <c:pt idx="2">
                  <c:v>2.2200000000000001E-2</c:v>
                </c:pt>
                <c:pt idx="3">
                  <c:v>2.0799999999999999E-2</c:v>
                </c:pt>
                <c:pt idx="4">
                  <c:v>2.2700000000000001E-2</c:v>
                </c:pt>
                <c:pt idx="5">
                  <c:v>1.6E-2</c:v>
                </c:pt>
                <c:pt idx="6">
                  <c:v>1.7100000000000001E-2</c:v>
                </c:pt>
                <c:pt idx="7">
                  <c:v>2.1999999999999999E-2</c:v>
                </c:pt>
                <c:pt idx="8">
                  <c:v>1.9300000000000001E-2</c:v>
                </c:pt>
                <c:pt idx="9">
                  <c:v>1.7600000000000001E-2</c:v>
                </c:pt>
                <c:pt idx="10">
                  <c:v>2.58E-2</c:v>
                </c:pt>
                <c:pt idx="11">
                  <c:v>2.24E-2</c:v>
                </c:pt>
                <c:pt idx="12">
                  <c:v>3.0599999999999999E-2</c:v>
                </c:pt>
                <c:pt idx="13">
                  <c:v>4.7199999999999999E-2</c:v>
                </c:pt>
                <c:pt idx="14">
                  <c:v>5.0299999999999997E-2</c:v>
                </c:pt>
                <c:pt idx="15">
                  <c:v>4.4200000000000003E-2</c:v>
                </c:pt>
                <c:pt idx="16">
                  <c:v>5.5500000000000001E-2</c:v>
                </c:pt>
                <c:pt idx="17">
                  <c:v>5.16E-2</c:v>
                </c:pt>
                <c:pt idx="18">
                  <c:v>6.5600000000000006E-2</c:v>
                </c:pt>
                <c:pt idx="19">
                  <c:v>6.6600000000000006E-2</c:v>
                </c:pt>
                <c:pt idx="20">
                  <c:v>5.4300000000000001E-2</c:v>
                </c:pt>
                <c:pt idx="21">
                  <c:v>3.44E-2</c:v>
                </c:pt>
                <c:pt idx="22">
                  <c:v>4.82E-2</c:v>
                </c:pt>
                <c:pt idx="23">
                  <c:v>5.0299999999999997E-2</c:v>
                </c:pt>
              </c:numCache>
            </c:numRef>
          </c:val>
          <c:extLst>
            <c:ext xmlns:c16="http://schemas.microsoft.com/office/drawing/2014/chart" uri="{C3380CC4-5D6E-409C-BE32-E72D297353CC}">
              <c16:uniqueId val="{00000000-3624-408E-961D-F24466CCCC1B}"/>
            </c:ext>
          </c:extLst>
        </c:ser>
        <c:dLbls>
          <c:showLegendKey val="0"/>
          <c:showVal val="0"/>
          <c:showCatName val="0"/>
          <c:showSerName val="0"/>
          <c:showPercent val="0"/>
          <c:showBubbleSize val="0"/>
        </c:dLbls>
        <c:axId val="864571471"/>
        <c:axId val="864574799"/>
      </c:areaChart>
      <c:lineChart>
        <c:grouping val="standard"/>
        <c:varyColors val="0"/>
        <c:ser>
          <c:idx val="1"/>
          <c:order val="1"/>
          <c:tx>
            <c:strRef>
              <c:f>Data!$B$9</c:f>
              <c:strCache>
                <c:ptCount val="1"/>
                <c:pt idx="0">
                  <c:v>Comm Sphere</c:v>
                </c:pt>
              </c:strCache>
            </c:strRef>
          </c:tx>
          <c:spPr>
            <a:ln w="28575" cap="rnd">
              <a:solidFill>
                <a:schemeClr val="accent2"/>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Data!$C$9:$Z$9</c:f>
              <c:numCache>
                <c:formatCode>0.0%</c:formatCode>
                <c:ptCount val="24"/>
                <c:pt idx="0">
                  <c:v>7.3000000000000001E-3</c:v>
                </c:pt>
                <c:pt idx="1">
                  <c:v>8.6999999999999994E-3</c:v>
                </c:pt>
                <c:pt idx="2">
                  <c:v>6.7000000000000002E-3</c:v>
                </c:pt>
                <c:pt idx="3">
                  <c:v>9.7000000000000003E-3</c:v>
                </c:pt>
                <c:pt idx="4">
                  <c:v>1.55E-2</c:v>
                </c:pt>
                <c:pt idx="5">
                  <c:v>1.7299999999999999E-2</c:v>
                </c:pt>
                <c:pt idx="6">
                  <c:v>2.2499999999999999E-2</c:v>
                </c:pt>
                <c:pt idx="7">
                  <c:v>2.53E-2</c:v>
                </c:pt>
                <c:pt idx="8">
                  <c:v>1.6500000000000001E-2</c:v>
                </c:pt>
                <c:pt idx="9">
                  <c:v>2.58E-2</c:v>
                </c:pt>
                <c:pt idx="10">
                  <c:v>5.0500000000000003E-2</c:v>
                </c:pt>
                <c:pt idx="11">
                  <c:v>3.8600000000000002E-2</c:v>
                </c:pt>
                <c:pt idx="12">
                  <c:v>6.2899999999999998E-2</c:v>
                </c:pt>
                <c:pt idx="13">
                  <c:v>7.7399999999999997E-2</c:v>
                </c:pt>
                <c:pt idx="14">
                  <c:v>5.1400000000000001E-2</c:v>
                </c:pt>
                <c:pt idx="15">
                  <c:v>4.0399999999999998E-2</c:v>
                </c:pt>
                <c:pt idx="16">
                  <c:v>0.05</c:v>
                </c:pt>
                <c:pt idx="17">
                  <c:v>2.7E-2</c:v>
                </c:pt>
                <c:pt idx="18">
                  <c:v>3.0800000000000001E-2</c:v>
                </c:pt>
                <c:pt idx="19">
                  <c:v>3.0800000000000001E-2</c:v>
                </c:pt>
                <c:pt idx="20">
                  <c:v>2.0500000000000001E-2</c:v>
                </c:pt>
                <c:pt idx="21">
                  <c:v>2.75E-2</c:v>
                </c:pt>
                <c:pt idx="22">
                  <c:v>5.8400000000000001E-2</c:v>
                </c:pt>
                <c:pt idx="23">
                  <c:v>3.5000000000000003E-2</c:v>
                </c:pt>
              </c:numCache>
            </c:numRef>
          </c:val>
          <c:smooth val="1"/>
          <c:extLst>
            <c:ext xmlns:c16="http://schemas.microsoft.com/office/drawing/2014/chart" uri="{C3380CC4-5D6E-409C-BE32-E72D297353CC}">
              <c16:uniqueId val="{00000001-3624-408E-961D-F24466CCCC1B}"/>
            </c:ext>
          </c:extLst>
        </c:ser>
        <c:ser>
          <c:idx val="2"/>
          <c:order val="2"/>
          <c:tx>
            <c:strRef>
              <c:f>Data!$B$10</c:f>
              <c:strCache>
                <c:ptCount val="1"/>
                <c:pt idx="0">
                  <c:v>Comm Torics</c:v>
                </c:pt>
              </c:strCache>
            </c:strRef>
          </c:tx>
          <c:spPr>
            <a:ln w="28575" cap="rnd">
              <a:solidFill>
                <a:schemeClr val="accent3"/>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Data!$C$10:$Z$10</c:f>
              <c:numCache>
                <c:formatCode>0.0%</c:formatCode>
                <c:ptCount val="24"/>
                <c:pt idx="0">
                  <c:v>2.6499999999999999E-2</c:v>
                </c:pt>
                <c:pt idx="1">
                  <c:v>1.8200000000000001E-2</c:v>
                </c:pt>
                <c:pt idx="2">
                  <c:v>3.0599999999999999E-2</c:v>
                </c:pt>
                <c:pt idx="3">
                  <c:v>2.9100000000000001E-2</c:v>
                </c:pt>
                <c:pt idx="4">
                  <c:v>3.2099999999999997E-2</c:v>
                </c:pt>
                <c:pt idx="5">
                  <c:v>1.7600000000000001E-2</c:v>
                </c:pt>
                <c:pt idx="6">
                  <c:v>1.2699999999999999E-2</c:v>
                </c:pt>
                <c:pt idx="7">
                  <c:v>1.7899999999999999E-2</c:v>
                </c:pt>
                <c:pt idx="8">
                  <c:v>1.8700000000000001E-2</c:v>
                </c:pt>
                <c:pt idx="9">
                  <c:v>1.61E-2</c:v>
                </c:pt>
                <c:pt idx="10">
                  <c:v>2.76E-2</c:v>
                </c:pt>
                <c:pt idx="11">
                  <c:v>2.6100000000000002E-2</c:v>
                </c:pt>
                <c:pt idx="12">
                  <c:v>3.6400000000000002E-2</c:v>
                </c:pt>
                <c:pt idx="13">
                  <c:v>5.8000000000000003E-2</c:v>
                </c:pt>
                <c:pt idx="14">
                  <c:v>5.8900000000000001E-2</c:v>
                </c:pt>
                <c:pt idx="15">
                  <c:v>4.8500000000000001E-2</c:v>
                </c:pt>
                <c:pt idx="16">
                  <c:v>5.9900000000000002E-2</c:v>
                </c:pt>
                <c:pt idx="17">
                  <c:v>5.8400000000000001E-2</c:v>
                </c:pt>
                <c:pt idx="18">
                  <c:v>7.2499999999999995E-2</c:v>
                </c:pt>
                <c:pt idx="19">
                  <c:v>6.9599999999999995E-2</c:v>
                </c:pt>
                <c:pt idx="20">
                  <c:v>5.04E-2</c:v>
                </c:pt>
                <c:pt idx="21">
                  <c:v>3.0700000000000002E-2</c:v>
                </c:pt>
                <c:pt idx="22">
                  <c:v>4.41E-2</c:v>
                </c:pt>
                <c:pt idx="23">
                  <c:v>0.04</c:v>
                </c:pt>
              </c:numCache>
            </c:numRef>
          </c:val>
          <c:smooth val="1"/>
          <c:extLst>
            <c:ext xmlns:c16="http://schemas.microsoft.com/office/drawing/2014/chart" uri="{C3380CC4-5D6E-409C-BE32-E72D297353CC}">
              <c16:uniqueId val="{00000002-3624-408E-961D-F24466CCCC1B}"/>
            </c:ext>
          </c:extLst>
        </c:ser>
        <c:ser>
          <c:idx val="3"/>
          <c:order val="3"/>
          <c:tx>
            <c:strRef>
              <c:f>Data!$B$11</c:f>
              <c:strCache>
                <c:ptCount val="1"/>
                <c:pt idx="0">
                  <c:v>Comm MF</c:v>
                </c:pt>
              </c:strCache>
            </c:strRef>
          </c:tx>
          <c:spPr>
            <a:ln w="28575" cap="rnd">
              <a:solidFill>
                <a:schemeClr val="accent4"/>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Data!$C$11:$Z$11</c:f>
              <c:numCache>
                <c:formatCode>0.0%</c:formatCode>
                <c:ptCount val="24"/>
                <c:pt idx="0">
                  <c:v>4.4000000000000003E-3</c:v>
                </c:pt>
                <c:pt idx="1">
                  <c:v>6.8999999999999999E-3</c:v>
                </c:pt>
                <c:pt idx="2">
                  <c:v>2.0500000000000001E-2</c:v>
                </c:pt>
                <c:pt idx="3">
                  <c:v>1.1900000000000001E-2</c:v>
                </c:pt>
                <c:pt idx="4">
                  <c:v>1.9699999999999999E-2</c:v>
                </c:pt>
                <c:pt idx="5">
                  <c:v>1.0999999999999999E-2</c:v>
                </c:pt>
                <c:pt idx="6">
                  <c:v>4.8999999999999998E-3</c:v>
                </c:pt>
                <c:pt idx="7">
                  <c:v>8.2000000000000007E-3</c:v>
                </c:pt>
                <c:pt idx="8">
                  <c:v>1.2800000000000001E-2</c:v>
                </c:pt>
                <c:pt idx="9">
                  <c:v>1.01E-2</c:v>
                </c:pt>
                <c:pt idx="10">
                  <c:v>2.29E-2</c:v>
                </c:pt>
                <c:pt idx="11">
                  <c:v>2.4400000000000002E-2</c:v>
                </c:pt>
                <c:pt idx="12">
                  <c:v>3.27E-2</c:v>
                </c:pt>
                <c:pt idx="13">
                  <c:v>4.2599999999999999E-2</c:v>
                </c:pt>
                <c:pt idx="14">
                  <c:v>6.5500000000000003E-2</c:v>
                </c:pt>
                <c:pt idx="15">
                  <c:v>8.2900000000000001E-2</c:v>
                </c:pt>
                <c:pt idx="16">
                  <c:v>7.46E-2</c:v>
                </c:pt>
                <c:pt idx="17">
                  <c:v>5.9200000000000003E-2</c:v>
                </c:pt>
                <c:pt idx="18">
                  <c:v>9.7500000000000003E-2</c:v>
                </c:pt>
                <c:pt idx="19">
                  <c:v>0.12479999999999999</c:v>
                </c:pt>
                <c:pt idx="20">
                  <c:v>7.2499999999999995E-2</c:v>
                </c:pt>
                <c:pt idx="21">
                  <c:v>6.0900000000000003E-2</c:v>
                </c:pt>
                <c:pt idx="22">
                  <c:v>7.4200000000000002E-2</c:v>
                </c:pt>
                <c:pt idx="23">
                  <c:v>8.8300000000000003E-2</c:v>
                </c:pt>
              </c:numCache>
            </c:numRef>
          </c:val>
          <c:smooth val="1"/>
          <c:extLst>
            <c:ext xmlns:c16="http://schemas.microsoft.com/office/drawing/2014/chart" uri="{C3380CC4-5D6E-409C-BE32-E72D297353CC}">
              <c16:uniqueId val="{00000003-3624-408E-961D-F24466CCCC1B}"/>
            </c:ext>
          </c:extLst>
        </c:ser>
        <c:ser>
          <c:idx val="7"/>
          <c:order val="4"/>
          <c:tx>
            <c:strRef>
              <c:f>Data!$B$15</c:f>
              <c:strCache>
                <c:ptCount val="1"/>
                <c:pt idx="0">
                  <c:v>Sphere&amp;MF Target</c:v>
                </c:pt>
              </c:strCache>
            </c:strRef>
          </c:tx>
          <c:spPr>
            <a:ln w="28575" cap="rnd">
              <a:solidFill>
                <a:schemeClr val="accent2">
                  <a:lumMod val="60000"/>
                </a:schemeClr>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Data!$C$15:$Z$15</c:f>
              <c:numCache>
                <c:formatCode>0.0%</c:formatCode>
                <c:ptCount val="24"/>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numCache>
            </c:numRef>
          </c:val>
          <c:smooth val="0"/>
          <c:extLst>
            <c:ext xmlns:c16="http://schemas.microsoft.com/office/drawing/2014/chart" uri="{C3380CC4-5D6E-409C-BE32-E72D297353CC}">
              <c16:uniqueId val="{00000004-3624-408E-961D-F24466CCCC1B}"/>
            </c:ext>
          </c:extLst>
        </c:ser>
        <c:ser>
          <c:idx val="8"/>
          <c:order val="5"/>
          <c:tx>
            <c:strRef>
              <c:f>Data!$B$16</c:f>
              <c:strCache>
                <c:ptCount val="1"/>
                <c:pt idx="0">
                  <c:v>Torics Target</c:v>
                </c:pt>
              </c:strCache>
            </c:strRef>
          </c:tx>
          <c:spPr>
            <a:ln w="28575" cap="rnd">
              <a:solidFill>
                <a:schemeClr val="accent3">
                  <a:lumMod val="60000"/>
                </a:schemeClr>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Data!$C$16:$Z$16</c:f>
              <c:numCache>
                <c:formatCode>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5-3624-408E-961D-F24466CCCC1B}"/>
            </c:ext>
          </c:extLst>
        </c:ser>
        <c:dLbls>
          <c:showLegendKey val="0"/>
          <c:showVal val="0"/>
          <c:showCatName val="0"/>
          <c:showSerName val="0"/>
          <c:showPercent val="0"/>
          <c:showBubbleSize val="0"/>
        </c:dLbls>
        <c:marker val="1"/>
        <c:smooth val="0"/>
        <c:axId val="864571471"/>
        <c:axId val="864574799"/>
      </c:lineChart>
      <c:catAx>
        <c:axId val="86457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64574799"/>
        <c:crosses val="autoZero"/>
        <c:auto val="1"/>
        <c:lblAlgn val="ctr"/>
        <c:lblOffset val="100"/>
        <c:noMultiLvlLbl val="0"/>
      </c:catAx>
      <c:valAx>
        <c:axId val="864574799"/>
        <c:scaling>
          <c:orientation val="minMax"/>
          <c:max val="7.0000000000000007E-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64571471"/>
        <c:crosses val="autoZero"/>
        <c:crossBetween val="between"/>
        <c:majorUnit val="5.000000000000001E-2"/>
        <c:minorUnit val="1.0000000000000002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Data!$B$8</c:f>
              <c:strCache>
                <c:ptCount val="1"/>
                <c:pt idx="0">
                  <c:v>OOS Total</c:v>
                </c:pt>
              </c:strCache>
            </c:strRef>
          </c:tx>
          <c:spPr>
            <a:solidFill>
              <a:schemeClr val="accent1"/>
            </a:solidFill>
            <a:ln>
              <a:noFill/>
            </a:ln>
            <a:effectLst/>
          </c:spP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Data!$C$8:$Z$8</c:f>
              <c:numCache>
                <c:formatCode>0.0%</c:formatCode>
                <c:ptCount val="24"/>
                <c:pt idx="0">
                  <c:v>1.9E-2</c:v>
                </c:pt>
                <c:pt idx="1">
                  <c:v>1.2800000000000001E-2</c:v>
                </c:pt>
                <c:pt idx="2">
                  <c:v>2.2200000000000001E-2</c:v>
                </c:pt>
                <c:pt idx="3">
                  <c:v>2.0799999999999999E-2</c:v>
                </c:pt>
                <c:pt idx="4">
                  <c:v>2.2700000000000001E-2</c:v>
                </c:pt>
                <c:pt idx="5">
                  <c:v>1.6E-2</c:v>
                </c:pt>
                <c:pt idx="6">
                  <c:v>1.7100000000000001E-2</c:v>
                </c:pt>
                <c:pt idx="7">
                  <c:v>2.1999999999999999E-2</c:v>
                </c:pt>
                <c:pt idx="8">
                  <c:v>1.9300000000000001E-2</c:v>
                </c:pt>
                <c:pt idx="9">
                  <c:v>1.7600000000000001E-2</c:v>
                </c:pt>
                <c:pt idx="10">
                  <c:v>2.58E-2</c:v>
                </c:pt>
                <c:pt idx="11">
                  <c:v>2.24E-2</c:v>
                </c:pt>
                <c:pt idx="12">
                  <c:v>3.0599999999999999E-2</c:v>
                </c:pt>
                <c:pt idx="13">
                  <c:v>4.7199999999999999E-2</c:v>
                </c:pt>
                <c:pt idx="14">
                  <c:v>5.0299999999999997E-2</c:v>
                </c:pt>
                <c:pt idx="15">
                  <c:v>4.4200000000000003E-2</c:v>
                </c:pt>
                <c:pt idx="16">
                  <c:v>5.5500000000000001E-2</c:v>
                </c:pt>
                <c:pt idx="17">
                  <c:v>5.16E-2</c:v>
                </c:pt>
                <c:pt idx="18">
                  <c:v>6.5600000000000006E-2</c:v>
                </c:pt>
                <c:pt idx="19">
                  <c:v>6.6600000000000006E-2</c:v>
                </c:pt>
                <c:pt idx="20">
                  <c:v>5.4300000000000001E-2</c:v>
                </c:pt>
                <c:pt idx="21">
                  <c:v>3.44E-2</c:v>
                </c:pt>
                <c:pt idx="22">
                  <c:v>4.82E-2</c:v>
                </c:pt>
                <c:pt idx="23">
                  <c:v>5.0299999999999997E-2</c:v>
                </c:pt>
              </c:numCache>
            </c:numRef>
          </c:val>
          <c:extLst>
            <c:ext xmlns:c16="http://schemas.microsoft.com/office/drawing/2014/chart" uri="{C3380CC4-5D6E-409C-BE32-E72D297353CC}">
              <c16:uniqueId val="{00000000-203C-407A-B719-D5FE33D5D401}"/>
            </c:ext>
          </c:extLst>
        </c:ser>
        <c:dLbls>
          <c:showLegendKey val="0"/>
          <c:showVal val="0"/>
          <c:showCatName val="0"/>
          <c:showSerName val="0"/>
          <c:showPercent val="0"/>
          <c:showBubbleSize val="0"/>
        </c:dLbls>
        <c:axId val="864571471"/>
        <c:axId val="864574799"/>
      </c:areaChart>
      <c:lineChart>
        <c:grouping val="standard"/>
        <c:varyColors val="0"/>
        <c:ser>
          <c:idx val="1"/>
          <c:order val="1"/>
          <c:tx>
            <c:strRef>
              <c:f>Data!$B$12</c:f>
              <c:strCache>
                <c:ptCount val="1"/>
                <c:pt idx="0">
                  <c:v>Diag Sphere</c:v>
                </c:pt>
              </c:strCache>
            </c:strRef>
          </c:tx>
          <c:spPr>
            <a:ln w="28575" cap="rnd">
              <a:solidFill>
                <a:schemeClr val="accent2"/>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Data!$C$12:$Z$12</c:f>
              <c:numCache>
                <c:formatCode>0.0%</c:formatCode>
                <c:ptCount val="24"/>
                <c:pt idx="0">
                  <c:v>0</c:v>
                </c:pt>
                <c:pt idx="1">
                  <c:v>6.9999999999999999E-4</c:v>
                </c:pt>
                <c:pt idx="2">
                  <c:v>5.9999999999999995E-4</c:v>
                </c:pt>
                <c:pt idx="3">
                  <c:v>3.0999999999999999E-3</c:v>
                </c:pt>
                <c:pt idx="4">
                  <c:v>7.1000000000000004E-3</c:v>
                </c:pt>
                <c:pt idx="5">
                  <c:v>7.1000000000000004E-3</c:v>
                </c:pt>
                <c:pt idx="6">
                  <c:v>9.5999999999999992E-3</c:v>
                </c:pt>
                <c:pt idx="7">
                  <c:v>1.89E-2</c:v>
                </c:pt>
                <c:pt idx="8">
                  <c:v>1.37E-2</c:v>
                </c:pt>
                <c:pt idx="9">
                  <c:v>2.2499999999999999E-2</c:v>
                </c:pt>
                <c:pt idx="10">
                  <c:v>2.7900000000000001E-2</c:v>
                </c:pt>
                <c:pt idx="11">
                  <c:v>8.3999999999999995E-3</c:v>
                </c:pt>
                <c:pt idx="12">
                  <c:v>3.5999999999999999E-3</c:v>
                </c:pt>
                <c:pt idx="13">
                  <c:v>9.7999999999999997E-3</c:v>
                </c:pt>
                <c:pt idx="14">
                  <c:v>4.5999999999999999E-3</c:v>
                </c:pt>
                <c:pt idx="15">
                  <c:v>0</c:v>
                </c:pt>
                <c:pt idx="16">
                  <c:v>0</c:v>
                </c:pt>
                <c:pt idx="17">
                  <c:v>5.4000000000000003E-3</c:v>
                </c:pt>
                <c:pt idx="18">
                  <c:v>1.7999999999999999E-2</c:v>
                </c:pt>
                <c:pt idx="19">
                  <c:v>3.0599999999999999E-2</c:v>
                </c:pt>
                <c:pt idx="20">
                  <c:v>8.0999999999999996E-3</c:v>
                </c:pt>
                <c:pt idx="21">
                  <c:v>1.44E-2</c:v>
                </c:pt>
                <c:pt idx="22">
                  <c:v>4.6800000000000001E-2</c:v>
                </c:pt>
                <c:pt idx="23">
                  <c:v>5.3100000000000001E-2</c:v>
                </c:pt>
              </c:numCache>
            </c:numRef>
          </c:val>
          <c:smooth val="1"/>
          <c:extLst>
            <c:ext xmlns:c16="http://schemas.microsoft.com/office/drawing/2014/chart" uri="{C3380CC4-5D6E-409C-BE32-E72D297353CC}">
              <c16:uniqueId val="{00000001-203C-407A-B719-D5FE33D5D401}"/>
            </c:ext>
          </c:extLst>
        </c:ser>
        <c:ser>
          <c:idx val="2"/>
          <c:order val="2"/>
          <c:tx>
            <c:strRef>
              <c:f>Data!$B$13</c:f>
              <c:strCache>
                <c:ptCount val="1"/>
                <c:pt idx="0">
                  <c:v>Diag Torics</c:v>
                </c:pt>
              </c:strCache>
            </c:strRef>
          </c:tx>
          <c:spPr>
            <a:ln w="28575" cap="rnd">
              <a:solidFill>
                <a:schemeClr val="accent3"/>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Data!$C$13:$Z$13</c:f>
              <c:numCache>
                <c:formatCode>0.0%</c:formatCode>
                <c:ptCount val="24"/>
                <c:pt idx="0">
                  <c:v>2.35E-2</c:v>
                </c:pt>
                <c:pt idx="1">
                  <c:v>1.3299999999999999E-2</c:v>
                </c:pt>
                <c:pt idx="2">
                  <c:v>2.5999999999999999E-2</c:v>
                </c:pt>
                <c:pt idx="3">
                  <c:v>2.2499999999999999E-2</c:v>
                </c:pt>
                <c:pt idx="4">
                  <c:v>2.2499999999999999E-2</c:v>
                </c:pt>
                <c:pt idx="5">
                  <c:v>1.6E-2</c:v>
                </c:pt>
                <c:pt idx="6">
                  <c:v>2.1899999999999999E-2</c:v>
                </c:pt>
                <c:pt idx="7">
                  <c:v>3.0700000000000002E-2</c:v>
                </c:pt>
                <c:pt idx="8">
                  <c:v>2.5999999999999999E-2</c:v>
                </c:pt>
                <c:pt idx="9">
                  <c:v>2.4899999999999999E-2</c:v>
                </c:pt>
                <c:pt idx="10">
                  <c:v>2.8000000000000001E-2</c:v>
                </c:pt>
                <c:pt idx="11">
                  <c:v>1.8800000000000001E-2</c:v>
                </c:pt>
                <c:pt idx="12">
                  <c:v>2.3900000000000001E-2</c:v>
                </c:pt>
                <c:pt idx="13">
                  <c:v>3.27E-2</c:v>
                </c:pt>
                <c:pt idx="14">
                  <c:v>4.0899999999999999E-2</c:v>
                </c:pt>
                <c:pt idx="15">
                  <c:v>4.2000000000000003E-2</c:v>
                </c:pt>
                <c:pt idx="16">
                  <c:v>5.6500000000000002E-2</c:v>
                </c:pt>
                <c:pt idx="17">
                  <c:v>5.1999999999999998E-2</c:v>
                </c:pt>
                <c:pt idx="18">
                  <c:v>6.4100000000000004E-2</c:v>
                </c:pt>
                <c:pt idx="19">
                  <c:v>7.9299999999999995E-2</c:v>
                </c:pt>
                <c:pt idx="20">
                  <c:v>7.3499999999999996E-2</c:v>
                </c:pt>
                <c:pt idx="21">
                  <c:v>4.1799999999999997E-2</c:v>
                </c:pt>
                <c:pt idx="22">
                  <c:v>5.3800000000000001E-2</c:v>
                </c:pt>
                <c:pt idx="23">
                  <c:v>7.0000000000000007E-2</c:v>
                </c:pt>
              </c:numCache>
            </c:numRef>
          </c:val>
          <c:smooth val="1"/>
          <c:extLst>
            <c:ext xmlns:c16="http://schemas.microsoft.com/office/drawing/2014/chart" uri="{C3380CC4-5D6E-409C-BE32-E72D297353CC}">
              <c16:uniqueId val="{00000002-203C-407A-B719-D5FE33D5D401}"/>
            </c:ext>
          </c:extLst>
        </c:ser>
        <c:ser>
          <c:idx val="3"/>
          <c:order val="3"/>
          <c:tx>
            <c:strRef>
              <c:f>Data!$B$14</c:f>
              <c:strCache>
                <c:ptCount val="1"/>
                <c:pt idx="0">
                  <c:v>Diag MF</c:v>
                </c:pt>
              </c:strCache>
            </c:strRef>
          </c:tx>
          <c:spPr>
            <a:ln w="28575" cap="rnd">
              <a:solidFill>
                <a:schemeClr val="accent4"/>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Data!$C$14:$Z$14</c:f>
              <c:numCache>
                <c:formatCode>0.0%</c:formatCode>
                <c:ptCount val="24"/>
                <c:pt idx="0">
                  <c:v>8.6800000000000002E-2</c:v>
                </c:pt>
                <c:pt idx="1">
                  <c:v>4.2599999999999999E-2</c:v>
                </c:pt>
                <c:pt idx="2">
                  <c:v>8.7499999999999994E-2</c:v>
                </c:pt>
                <c:pt idx="3">
                  <c:v>5.5399999999999998E-2</c:v>
                </c:pt>
                <c:pt idx="4">
                  <c:v>7.5999999999999998E-2</c:v>
                </c:pt>
                <c:pt idx="5">
                  <c:v>8.7499999999999994E-2</c:v>
                </c:pt>
                <c:pt idx="6">
                  <c:v>4.8800000000000003E-2</c:v>
                </c:pt>
                <c:pt idx="7">
                  <c:v>4.0300000000000002E-2</c:v>
                </c:pt>
                <c:pt idx="8">
                  <c:v>3.5499999999999997E-2</c:v>
                </c:pt>
                <c:pt idx="9">
                  <c:v>8.2000000000000007E-3</c:v>
                </c:pt>
                <c:pt idx="10">
                  <c:v>1.3299999999999999E-2</c:v>
                </c:pt>
                <c:pt idx="11">
                  <c:v>8.5000000000000006E-3</c:v>
                </c:pt>
                <c:pt idx="12">
                  <c:v>5.4999999999999997E-3</c:v>
                </c:pt>
                <c:pt idx="13">
                  <c:v>1.2800000000000001E-2</c:v>
                </c:pt>
                <c:pt idx="14">
                  <c:v>9.2200000000000004E-2</c:v>
                </c:pt>
                <c:pt idx="15">
                  <c:v>0.1003</c:v>
                </c:pt>
                <c:pt idx="16">
                  <c:v>0.13650000000000001</c:v>
                </c:pt>
                <c:pt idx="17">
                  <c:v>9.4200000000000006E-2</c:v>
                </c:pt>
                <c:pt idx="18">
                  <c:v>1.6299999999999999E-2</c:v>
                </c:pt>
                <c:pt idx="19">
                  <c:v>3.3500000000000002E-2</c:v>
                </c:pt>
                <c:pt idx="20">
                  <c:v>4.99E-2</c:v>
                </c:pt>
                <c:pt idx="21">
                  <c:v>8.0100000000000005E-2</c:v>
                </c:pt>
                <c:pt idx="22">
                  <c:v>0.1351</c:v>
                </c:pt>
                <c:pt idx="23">
                  <c:v>0.158</c:v>
                </c:pt>
              </c:numCache>
            </c:numRef>
          </c:val>
          <c:smooth val="1"/>
          <c:extLst>
            <c:ext xmlns:c16="http://schemas.microsoft.com/office/drawing/2014/chart" uri="{C3380CC4-5D6E-409C-BE32-E72D297353CC}">
              <c16:uniqueId val="{00000003-203C-407A-B719-D5FE33D5D401}"/>
            </c:ext>
          </c:extLst>
        </c:ser>
        <c:ser>
          <c:idx val="7"/>
          <c:order val="4"/>
          <c:tx>
            <c:strRef>
              <c:f>Data!$B$15</c:f>
              <c:strCache>
                <c:ptCount val="1"/>
                <c:pt idx="0">
                  <c:v>Sphere&amp;MF Target</c:v>
                </c:pt>
              </c:strCache>
            </c:strRef>
          </c:tx>
          <c:spPr>
            <a:ln w="28575" cap="rnd">
              <a:solidFill>
                <a:schemeClr val="accent2">
                  <a:lumMod val="60000"/>
                </a:schemeClr>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Data!$C$15:$Z$15</c:f>
              <c:numCache>
                <c:formatCode>0.0%</c:formatCode>
                <c:ptCount val="24"/>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numCache>
            </c:numRef>
          </c:val>
          <c:smooth val="0"/>
          <c:extLst>
            <c:ext xmlns:c16="http://schemas.microsoft.com/office/drawing/2014/chart" uri="{C3380CC4-5D6E-409C-BE32-E72D297353CC}">
              <c16:uniqueId val="{00000004-203C-407A-B719-D5FE33D5D401}"/>
            </c:ext>
          </c:extLst>
        </c:ser>
        <c:ser>
          <c:idx val="8"/>
          <c:order val="5"/>
          <c:tx>
            <c:strRef>
              <c:f>Data!$B$16</c:f>
              <c:strCache>
                <c:ptCount val="1"/>
                <c:pt idx="0">
                  <c:v>Torics Target</c:v>
                </c:pt>
              </c:strCache>
            </c:strRef>
          </c:tx>
          <c:spPr>
            <a:ln w="28575" cap="rnd">
              <a:solidFill>
                <a:schemeClr val="accent3">
                  <a:lumMod val="60000"/>
                </a:schemeClr>
              </a:solidFill>
              <a:round/>
            </a:ln>
            <a:effectLst/>
          </c:spPr>
          <c:marker>
            <c:symbol val="none"/>
          </c:marker>
          <c:cat>
            <c:strRef>
              <c:f>Data!$C$2:$Z$2</c:f>
              <c:strCache>
                <c:ptCount val="24"/>
                <c:pt idx="0">
                  <c:v>July</c:v>
                </c:pt>
                <c:pt idx="1">
                  <c:v>August</c:v>
                </c:pt>
                <c:pt idx="2">
                  <c:v>Sept</c:v>
                </c:pt>
                <c:pt idx="3">
                  <c:v>Oct</c:v>
                </c:pt>
                <c:pt idx="4">
                  <c:v>Nov</c:v>
                </c:pt>
                <c:pt idx="5">
                  <c:v>Dec</c:v>
                </c:pt>
                <c:pt idx="6">
                  <c:v>Jan</c:v>
                </c:pt>
                <c:pt idx="7">
                  <c:v>Feb</c:v>
                </c:pt>
                <c:pt idx="8">
                  <c:v>Mar</c:v>
                </c:pt>
                <c:pt idx="9">
                  <c:v>Apr</c:v>
                </c:pt>
                <c:pt idx="10">
                  <c:v>May</c:v>
                </c:pt>
                <c:pt idx="11">
                  <c:v>June</c:v>
                </c:pt>
                <c:pt idx="12">
                  <c:v>July</c:v>
                </c:pt>
                <c:pt idx="13">
                  <c:v>August</c:v>
                </c:pt>
                <c:pt idx="14">
                  <c:v>Sept</c:v>
                </c:pt>
                <c:pt idx="15">
                  <c:v>Oct</c:v>
                </c:pt>
                <c:pt idx="16">
                  <c:v>Nov</c:v>
                </c:pt>
                <c:pt idx="17">
                  <c:v>Dec</c:v>
                </c:pt>
                <c:pt idx="18">
                  <c:v>Jan</c:v>
                </c:pt>
                <c:pt idx="19">
                  <c:v>Feb</c:v>
                </c:pt>
                <c:pt idx="20">
                  <c:v>Mar</c:v>
                </c:pt>
                <c:pt idx="21">
                  <c:v>Apr</c:v>
                </c:pt>
                <c:pt idx="22">
                  <c:v>May</c:v>
                </c:pt>
                <c:pt idx="23">
                  <c:v>June</c:v>
                </c:pt>
              </c:strCache>
            </c:strRef>
          </c:cat>
          <c:val>
            <c:numRef>
              <c:f>Data!$C$16:$Z$16</c:f>
              <c:numCache>
                <c:formatCode>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5-203C-407A-B719-D5FE33D5D401}"/>
            </c:ext>
          </c:extLst>
        </c:ser>
        <c:dLbls>
          <c:showLegendKey val="0"/>
          <c:showVal val="0"/>
          <c:showCatName val="0"/>
          <c:showSerName val="0"/>
          <c:showPercent val="0"/>
          <c:showBubbleSize val="0"/>
        </c:dLbls>
        <c:marker val="1"/>
        <c:smooth val="0"/>
        <c:axId val="864571471"/>
        <c:axId val="864574799"/>
      </c:lineChart>
      <c:catAx>
        <c:axId val="86457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64574799"/>
        <c:crosses val="autoZero"/>
        <c:auto val="1"/>
        <c:lblAlgn val="ctr"/>
        <c:lblOffset val="100"/>
        <c:noMultiLvlLbl val="0"/>
      </c:catAx>
      <c:valAx>
        <c:axId val="864574799"/>
        <c:scaling>
          <c:orientation val="minMax"/>
          <c:max val="0.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64571471"/>
        <c:crosses val="autoZero"/>
        <c:crossBetween val="between"/>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403776</xdr:colOff>
      <xdr:row>5</xdr:row>
      <xdr:rowOff>131818</xdr:rowOff>
    </xdr:from>
    <xdr:to>
      <xdr:col>3</xdr:col>
      <xdr:colOff>592840</xdr:colOff>
      <xdr:row>8</xdr:row>
      <xdr:rowOff>211978</xdr:rowOff>
    </xdr:to>
    <xdr:grpSp>
      <xdr:nvGrpSpPr>
        <xdr:cNvPr id="12" name="Group 11">
          <a:extLst>
            <a:ext uri="{FF2B5EF4-FFF2-40B4-BE49-F238E27FC236}">
              <a16:creationId xmlns:a16="http://schemas.microsoft.com/office/drawing/2014/main" id="{BD33B6DB-7211-41CA-8897-93E08CB37080}"/>
            </a:ext>
          </a:extLst>
        </xdr:cNvPr>
        <xdr:cNvGrpSpPr/>
      </xdr:nvGrpSpPr>
      <xdr:grpSpPr>
        <a:xfrm>
          <a:off x="739056" y="1190998"/>
          <a:ext cx="1408264" cy="758340"/>
          <a:chOff x="3064351" y="2483308"/>
          <a:chExt cx="6063299" cy="3427938"/>
        </a:xfrm>
      </xdr:grpSpPr>
      <xdr:grpSp>
        <xdr:nvGrpSpPr>
          <xdr:cNvPr id="13" name="Group 12">
            <a:extLst>
              <a:ext uri="{FF2B5EF4-FFF2-40B4-BE49-F238E27FC236}">
                <a16:creationId xmlns:a16="http://schemas.microsoft.com/office/drawing/2014/main" id="{3A230DA5-5202-4FD4-A30C-04A1D1AF85DE}"/>
              </a:ext>
            </a:extLst>
          </xdr:cNvPr>
          <xdr:cNvGrpSpPr/>
        </xdr:nvGrpSpPr>
        <xdr:grpSpPr>
          <a:xfrm>
            <a:off x="3064351" y="2483308"/>
            <a:ext cx="6063299" cy="3427938"/>
            <a:chOff x="3064351" y="2483308"/>
            <a:chExt cx="6063299" cy="3427938"/>
          </a:xfrm>
        </xdr:grpSpPr>
        <xdr:sp macro="" textlink="">
          <xdr:nvSpPr>
            <xdr:cNvPr id="17" name="Shape">
              <a:extLst>
                <a:ext uri="{FF2B5EF4-FFF2-40B4-BE49-F238E27FC236}">
                  <a16:creationId xmlns:a16="http://schemas.microsoft.com/office/drawing/2014/main" id="{DBDB986D-14EB-4B0C-9240-FFBF6651B7F5}"/>
                </a:ext>
              </a:extLst>
            </xdr:cNvPr>
            <xdr:cNvSpPr/>
          </xdr:nvSpPr>
          <xdr:spPr>
            <a:xfrm>
              <a:off x="3064351" y="3443514"/>
              <a:ext cx="2299344" cy="2045240"/>
            </a:xfrm>
            <a:custGeom>
              <a:avLst/>
              <a:gdLst/>
              <a:ahLst/>
              <a:cxnLst>
                <a:cxn ang="0">
                  <a:pos x="wd2" y="hd2"/>
                </a:cxn>
                <a:cxn ang="5400000">
                  <a:pos x="wd2" y="hd2"/>
                </a:cxn>
                <a:cxn ang="10800000">
                  <a:pos x="wd2" y="hd2"/>
                </a:cxn>
                <a:cxn ang="16200000">
                  <a:pos x="wd2" y="hd2"/>
                </a:cxn>
              </a:cxnLst>
              <a:rect l="0" t="0" r="r" b="b"/>
              <a:pathLst>
                <a:path w="21330" h="21600" extrusionOk="0">
                  <a:moveTo>
                    <a:pt x="7613" y="0"/>
                  </a:moveTo>
                  <a:cubicBezTo>
                    <a:pt x="3560" y="4792"/>
                    <a:pt x="955" y="10775"/>
                    <a:pt x="42" y="17239"/>
                  </a:cubicBezTo>
                  <a:cubicBezTo>
                    <a:pt x="-270" y="19470"/>
                    <a:pt x="1222" y="21524"/>
                    <a:pt x="3226" y="21524"/>
                  </a:cubicBezTo>
                  <a:lnTo>
                    <a:pt x="19170" y="21600"/>
                  </a:lnTo>
                  <a:cubicBezTo>
                    <a:pt x="19326" y="19420"/>
                    <a:pt x="20061" y="17392"/>
                    <a:pt x="21330" y="15744"/>
                  </a:cubicBezTo>
                  <a:lnTo>
                    <a:pt x="7613" y="0"/>
                  </a:lnTo>
                  <a:close/>
                </a:path>
              </a:pathLst>
            </a:custGeom>
            <a:solidFill>
              <a:srgbClr val="C13018"/>
            </a:solidFill>
            <a:ln w="12700">
              <a:miter lim="400000"/>
            </a:ln>
          </xdr:spPr>
          <xdr:txBody>
            <a:bodyPr wrap="square" lIns="38100" tIns="38100" rIns="38100" bIns="38100" anchor="ctr"/>
            <a:lstStyle>
              <a:defPPr>
                <a:defRPr lang="en-US"/>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a:defRPr sz="3000">
                  <a:solidFill>
                    <a:srgbClr val="FFFFFF"/>
                  </a:solidFill>
                </a:defRPr>
              </a:pPr>
              <a:endParaRPr/>
            </a:p>
          </xdr:txBody>
        </xdr:sp>
        <xdr:sp macro="" textlink="">
          <xdr:nvSpPr>
            <xdr:cNvPr id="18" name="Shape">
              <a:extLst>
                <a:ext uri="{FF2B5EF4-FFF2-40B4-BE49-F238E27FC236}">
                  <a16:creationId xmlns:a16="http://schemas.microsoft.com/office/drawing/2014/main" id="{F225AF74-1741-4509-B293-2BEA8243D7E0}"/>
                </a:ext>
              </a:extLst>
            </xdr:cNvPr>
            <xdr:cNvSpPr/>
          </xdr:nvSpPr>
          <xdr:spPr>
            <a:xfrm>
              <a:off x="6165613" y="2483308"/>
              <a:ext cx="2045238" cy="2330902"/>
            </a:xfrm>
            <a:custGeom>
              <a:avLst/>
              <a:gdLst/>
              <a:ahLst/>
              <a:cxnLst>
                <a:cxn ang="0">
                  <a:pos x="wd2" y="hd2"/>
                </a:cxn>
                <a:cxn ang="5400000">
                  <a:pos x="wd2" y="hd2"/>
                </a:cxn>
                <a:cxn ang="10800000">
                  <a:pos x="wd2" y="hd2"/>
                </a:cxn>
                <a:cxn ang="16200000">
                  <a:pos x="wd2" y="hd2"/>
                </a:cxn>
              </a:cxnLst>
              <a:rect l="0" t="0" r="r" b="b"/>
              <a:pathLst>
                <a:path w="21600" h="21600" extrusionOk="0">
                  <a:moveTo>
                    <a:pt x="0" y="19442"/>
                  </a:moveTo>
                  <a:cubicBezTo>
                    <a:pt x="2180" y="19598"/>
                    <a:pt x="4208" y="20332"/>
                    <a:pt x="5856" y="21600"/>
                  </a:cubicBezTo>
                  <a:lnTo>
                    <a:pt x="21600" y="7897"/>
                  </a:lnTo>
                  <a:cubicBezTo>
                    <a:pt x="15769" y="2981"/>
                    <a:pt x="8189" y="178"/>
                    <a:pt x="76" y="0"/>
                  </a:cubicBezTo>
                  <a:lnTo>
                    <a:pt x="0" y="19442"/>
                  </a:lnTo>
                  <a:close/>
                </a:path>
              </a:pathLst>
            </a:custGeom>
            <a:solidFill>
              <a:srgbClr val="FFCC4C"/>
            </a:solidFill>
            <a:ln w="12700">
              <a:miter lim="400000"/>
            </a:ln>
          </xdr:spPr>
          <xdr:txBody>
            <a:bodyPr wrap="square" lIns="38100" tIns="38100" rIns="38100" bIns="38100" anchor="ctr"/>
            <a:lstStyle>
              <a:defPPr>
                <a:defRPr lang="en-US"/>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a:defRPr sz="3000">
                  <a:solidFill>
                    <a:srgbClr val="FFFFFF"/>
                  </a:solidFill>
                </a:defRPr>
              </a:pPr>
              <a:endParaRPr/>
            </a:p>
          </xdr:txBody>
        </xdr:sp>
        <xdr:sp macro="" textlink="">
          <xdr:nvSpPr>
            <xdr:cNvPr id="19" name="Shape">
              <a:extLst>
                <a:ext uri="{FF2B5EF4-FFF2-40B4-BE49-F238E27FC236}">
                  <a16:creationId xmlns:a16="http://schemas.microsoft.com/office/drawing/2014/main" id="{705DD08D-8698-4CEE-938E-1598899D5061}"/>
                </a:ext>
              </a:extLst>
            </xdr:cNvPr>
            <xdr:cNvSpPr/>
          </xdr:nvSpPr>
          <xdr:spPr>
            <a:xfrm>
              <a:off x="3981146" y="2483308"/>
              <a:ext cx="2042839" cy="2328503"/>
            </a:xfrm>
            <a:custGeom>
              <a:avLst/>
              <a:gdLst/>
              <a:ahLst/>
              <a:cxnLst>
                <a:cxn ang="0">
                  <a:pos x="wd2" y="hd2"/>
                </a:cxn>
                <a:cxn ang="5400000">
                  <a:pos x="wd2" y="hd2"/>
                </a:cxn>
                <a:cxn ang="10800000">
                  <a:pos x="wd2" y="hd2"/>
                </a:cxn>
                <a:cxn ang="16200000">
                  <a:pos x="wd2" y="hd2"/>
                </a:cxn>
              </a:cxnLst>
              <a:rect l="0" t="0" r="r" b="b"/>
              <a:pathLst>
                <a:path w="21600" h="21600" extrusionOk="0">
                  <a:moveTo>
                    <a:pt x="15635" y="21600"/>
                  </a:moveTo>
                  <a:cubicBezTo>
                    <a:pt x="17285" y="20353"/>
                    <a:pt x="19341" y="19618"/>
                    <a:pt x="21524" y="19485"/>
                  </a:cubicBezTo>
                  <a:lnTo>
                    <a:pt x="21600" y="0"/>
                  </a:lnTo>
                  <a:cubicBezTo>
                    <a:pt x="13503" y="134"/>
                    <a:pt x="5863" y="2873"/>
                    <a:pt x="0" y="7772"/>
                  </a:cubicBezTo>
                  <a:lnTo>
                    <a:pt x="15635" y="21600"/>
                  </a:lnTo>
                  <a:close/>
                </a:path>
              </a:pathLst>
            </a:custGeom>
            <a:solidFill>
              <a:srgbClr val="F7931F"/>
            </a:solidFill>
            <a:ln w="12700">
              <a:miter lim="400000"/>
            </a:ln>
          </xdr:spPr>
          <xdr:txBody>
            <a:bodyPr wrap="square" lIns="38100" tIns="38100" rIns="38100" bIns="38100" anchor="ctr"/>
            <a:lstStyle>
              <a:defPPr>
                <a:defRPr lang="en-US"/>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a:defRPr sz="3000">
                  <a:solidFill>
                    <a:srgbClr val="FFFFFF"/>
                  </a:solidFill>
                </a:defRPr>
              </a:pPr>
              <a:endParaRPr/>
            </a:p>
          </xdr:txBody>
        </xdr:sp>
        <xdr:sp macro="" textlink="">
          <xdr:nvSpPr>
            <xdr:cNvPr id="20" name="Shape">
              <a:extLst>
                <a:ext uri="{FF2B5EF4-FFF2-40B4-BE49-F238E27FC236}">
                  <a16:creationId xmlns:a16="http://schemas.microsoft.com/office/drawing/2014/main" id="{B8AB9E8F-AA75-461F-B950-DDC6886FE904}"/>
                </a:ext>
              </a:extLst>
            </xdr:cNvPr>
            <xdr:cNvSpPr/>
          </xdr:nvSpPr>
          <xdr:spPr>
            <a:xfrm>
              <a:off x="6833160" y="3443514"/>
              <a:ext cx="2294490" cy="2030860"/>
            </a:xfrm>
            <a:custGeom>
              <a:avLst/>
              <a:gdLst/>
              <a:ahLst/>
              <a:cxnLst>
                <a:cxn ang="0">
                  <a:pos x="wd2" y="hd2"/>
                </a:cxn>
                <a:cxn ang="5400000">
                  <a:pos x="wd2" y="hd2"/>
                </a:cxn>
                <a:cxn ang="10800000">
                  <a:pos x="wd2" y="hd2"/>
                </a:cxn>
                <a:cxn ang="16200000">
                  <a:pos x="wd2" y="hd2"/>
                </a:cxn>
              </a:cxnLst>
              <a:rect l="0" t="0" r="r" b="b"/>
              <a:pathLst>
                <a:path w="21329" h="21575" extrusionOk="0">
                  <a:moveTo>
                    <a:pt x="21288" y="17290"/>
                  </a:moveTo>
                  <a:cubicBezTo>
                    <a:pt x="20395" y="10813"/>
                    <a:pt x="17829" y="4820"/>
                    <a:pt x="13835" y="0"/>
                  </a:cubicBezTo>
                  <a:lnTo>
                    <a:pt x="0" y="15709"/>
                  </a:lnTo>
                  <a:cubicBezTo>
                    <a:pt x="1250" y="17367"/>
                    <a:pt x="1986" y="19407"/>
                    <a:pt x="2120" y="21574"/>
                  </a:cubicBezTo>
                  <a:lnTo>
                    <a:pt x="18097" y="21574"/>
                  </a:lnTo>
                  <a:cubicBezTo>
                    <a:pt x="20083" y="21600"/>
                    <a:pt x="21600" y="19560"/>
                    <a:pt x="21288" y="17290"/>
                  </a:cubicBezTo>
                  <a:close/>
                </a:path>
              </a:pathLst>
            </a:custGeom>
            <a:solidFill>
              <a:srgbClr val="A2B969"/>
            </a:solidFill>
            <a:ln w="12700">
              <a:miter lim="400000"/>
            </a:ln>
          </xdr:spPr>
          <xdr:txBody>
            <a:bodyPr wrap="square" lIns="38100" tIns="38100" rIns="38100" bIns="38100" anchor="ctr"/>
            <a:lstStyle>
              <a:defPPr>
                <a:defRPr lang="en-US"/>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a:defRPr sz="3000">
                  <a:solidFill>
                    <a:srgbClr val="FFFFFF"/>
                  </a:solidFill>
                </a:defRPr>
              </a:pPr>
              <a:endParaRPr/>
            </a:p>
          </xdr:txBody>
        </xdr:sp>
        <xdr:sp macro="" textlink="">
          <xdr:nvSpPr>
            <xdr:cNvPr id="21" name="Circle">
              <a:extLst>
                <a:ext uri="{FF2B5EF4-FFF2-40B4-BE49-F238E27FC236}">
                  <a16:creationId xmlns:a16="http://schemas.microsoft.com/office/drawing/2014/main" id="{C397C47B-300A-4C13-BDBA-9170F3E5303F}"/>
                </a:ext>
              </a:extLst>
            </xdr:cNvPr>
            <xdr:cNvSpPr/>
          </xdr:nvSpPr>
          <xdr:spPr>
            <a:xfrm>
              <a:off x="5738323" y="5195891"/>
              <a:ext cx="715355" cy="715355"/>
            </a:xfrm>
            <a:prstGeom prst="ellipse">
              <a:avLst/>
            </a:prstGeom>
            <a:solidFill>
              <a:srgbClr val="D3D3D3"/>
            </a:solidFill>
            <a:ln w="12700">
              <a:miter lim="400000"/>
            </a:ln>
          </xdr:spPr>
          <xdr:txBody>
            <a:bodyPr wrap="square" lIns="38100" tIns="38100" rIns="38100" bIns="38100" anchor="ctr"/>
            <a:lstStyle>
              <a:defPPr>
                <a:defRPr lang="en-US"/>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a:defRPr sz="3000">
                  <a:solidFill>
                    <a:srgbClr val="FFFFFF"/>
                  </a:solidFill>
                </a:defRPr>
              </a:pPr>
              <a:endParaRPr/>
            </a:p>
          </xdr:txBody>
        </xdr:sp>
        <xdr:sp macro="" textlink="">
          <xdr:nvSpPr>
            <xdr:cNvPr id="22" name="Shape">
              <a:extLst>
                <a:ext uri="{FF2B5EF4-FFF2-40B4-BE49-F238E27FC236}">
                  <a16:creationId xmlns:a16="http://schemas.microsoft.com/office/drawing/2014/main" id="{DC224C04-9E2A-4505-B4A4-31B2B713BC82}"/>
                </a:ext>
              </a:extLst>
            </xdr:cNvPr>
            <xdr:cNvSpPr/>
          </xdr:nvSpPr>
          <xdr:spPr>
            <a:xfrm>
              <a:off x="5491070" y="4955839"/>
              <a:ext cx="1209861" cy="604931"/>
            </a:xfrm>
            <a:custGeom>
              <a:avLst/>
              <a:gdLst/>
              <a:ahLst/>
              <a:cxnLst>
                <a:cxn ang="0">
                  <a:pos x="wd2" y="hd2"/>
                </a:cxn>
                <a:cxn ang="5400000">
                  <a:pos x="wd2" y="hd2"/>
                </a:cxn>
                <a:cxn ang="10800000">
                  <a:pos x="wd2" y="hd2"/>
                </a:cxn>
                <a:cxn ang="16200000">
                  <a:pos x="wd2" y="hd2"/>
                </a:cxn>
              </a:cxnLst>
              <a:rect l="0" t="0" r="r" b="b"/>
              <a:pathLst>
                <a:path w="21600" h="21600" extrusionOk="0">
                  <a:moveTo>
                    <a:pt x="21600" y="21600"/>
                  </a:moveTo>
                  <a:lnTo>
                    <a:pt x="21300" y="21600"/>
                  </a:lnTo>
                  <a:cubicBezTo>
                    <a:pt x="21300" y="10029"/>
                    <a:pt x="16586" y="600"/>
                    <a:pt x="10800" y="600"/>
                  </a:cubicBezTo>
                  <a:cubicBezTo>
                    <a:pt x="5014" y="600"/>
                    <a:pt x="300" y="10029"/>
                    <a:pt x="300" y="21600"/>
                  </a:cubicBezTo>
                  <a:lnTo>
                    <a:pt x="0" y="21600"/>
                  </a:lnTo>
                  <a:cubicBezTo>
                    <a:pt x="0" y="9686"/>
                    <a:pt x="4843" y="0"/>
                    <a:pt x="10800" y="0"/>
                  </a:cubicBezTo>
                  <a:cubicBezTo>
                    <a:pt x="16757" y="0"/>
                    <a:pt x="21600" y="9686"/>
                    <a:pt x="21600" y="21600"/>
                  </a:cubicBezTo>
                  <a:close/>
                </a:path>
              </a:pathLst>
            </a:custGeom>
            <a:solidFill>
              <a:srgbClr val="D3D3D3"/>
            </a:solidFill>
            <a:ln w="12700">
              <a:miter lim="400000"/>
            </a:ln>
          </xdr:spPr>
          <xdr:txBody>
            <a:bodyPr wrap="square" lIns="38100" tIns="38100" rIns="38100" bIns="38100" anchor="ctr"/>
            <a:lstStyle>
              <a:defPPr>
                <a:defRPr lang="en-US"/>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a:defRPr sz="3000">
                  <a:solidFill>
                    <a:srgbClr val="FFFFFF"/>
                  </a:solidFill>
                </a:defRPr>
              </a:pPr>
              <a:endParaRPr/>
            </a:p>
          </xdr:txBody>
        </xdr:sp>
      </xdr:grpSp>
      <xdr:grpSp>
        <xdr:nvGrpSpPr>
          <xdr:cNvPr id="14" name="Group 13">
            <a:extLst>
              <a:ext uri="{FF2B5EF4-FFF2-40B4-BE49-F238E27FC236}">
                <a16:creationId xmlns:a16="http://schemas.microsoft.com/office/drawing/2014/main" id="{1E3CBD8D-D743-4031-B59D-9EFDDD8C64B9}"/>
              </a:ext>
            </a:extLst>
          </xdr:cNvPr>
          <xdr:cNvGrpSpPr/>
        </xdr:nvGrpSpPr>
        <xdr:grpSpPr>
          <a:xfrm>
            <a:off x="5920964" y="3092077"/>
            <a:ext cx="946417" cy="2771286"/>
            <a:chOff x="5920964" y="2752438"/>
            <a:chExt cx="946417" cy="2771286"/>
          </a:xfrm>
        </xdr:grpSpPr>
        <xdr:sp macro="" textlink="">
          <xdr:nvSpPr>
            <xdr:cNvPr id="15" name="Shape">
              <a:extLst>
                <a:ext uri="{FF2B5EF4-FFF2-40B4-BE49-F238E27FC236}">
                  <a16:creationId xmlns:a16="http://schemas.microsoft.com/office/drawing/2014/main" id="{3F0927E6-8339-433F-9EB6-472929FB03FD}"/>
                </a:ext>
              </a:extLst>
            </xdr:cNvPr>
            <xdr:cNvSpPr/>
          </xdr:nvSpPr>
          <xdr:spPr>
            <a:xfrm rot="1659559">
              <a:off x="6464527" y="2752438"/>
              <a:ext cx="402854" cy="2771286"/>
            </a:xfrm>
            <a:custGeom>
              <a:avLst/>
              <a:gdLst/>
              <a:ahLst/>
              <a:cxnLst>
                <a:cxn ang="0">
                  <a:pos x="wd2" y="hd2"/>
                </a:cxn>
                <a:cxn ang="5400000">
                  <a:pos x="wd2" y="hd2"/>
                </a:cxn>
                <a:cxn ang="10800000">
                  <a:pos x="wd2" y="hd2"/>
                </a:cxn>
                <a:cxn ang="16200000">
                  <a:pos x="wd2" y="hd2"/>
                </a:cxn>
              </a:cxnLst>
              <a:rect l="0" t="0" r="r" b="b"/>
              <a:pathLst>
                <a:path w="20600" h="21514" extrusionOk="0">
                  <a:moveTo>
                    <a:pt x="8715" y="259"/>
                  </a:moveTo>
                  <a:lnTo>
                    <a:pt x="35" y="19461"/>
                  </a:lnTo>
                  <a:cubicBezTo>
                    <a:pt x="-458" y="20569"/>
                    <a:pt x="4276" y="21514"/>
                    <a:pt x="10293" y="21514"/>
                  </a:cubicBezTo>
                  <a:lnTo>
                    <a:pt x="10293" y="21514"/>
                  </a:lnTo>
                  <a:lnTo>
                    <a:pt x="10293" y="21514"/>
                  </a:lnTo>
                  <a:cubicBezTo>
                    <a:pt x="16309" y="21514"/>
                    <a:pt x="21142" y="20569"/>
                    <a:pt x="20550" y="19461"/>
                  </a:cubicBezTo>
                  <a:lnTo>
                    <a:pt x="11871" y="259"/>
                  </a:lnTo>
                  <a:cubicBezTo>
                    <a:pt x="11673" y="-86"/>
                    <a:pt x="8912" y="-86"/>
                    <a:pt x="8715" y="259"/>
                  </a:cubicBezTo>
                  <a:close/>
                </a:path>
              </a:pathLst>
            </a:custGeom>
            <a:solidFill>
              <a:sysClr val="windowText" lastClr="000000">
                <a:lumMod val="50000"/>
                <a:lumOff val="50000"/>
              </a:sysClr>
            </a:solidFill>
            <a:ln w="12700">
              <a:miter lim="400000"/>
            </a:ln>
          </xdr:spPr>
          <xdr:txBody>
            <a:bodyPr wrap="square" lIns="38100" tIns="38100" rIns="38100" bIns="38100" anchor="ctr"/>
            <a:lstStyle>
              <a:defPPr>
                <a:defRPr lang="en-US"/>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a:defRPr sz="3000">
                  <a:solidFill>
                    <a:srgbClr val="FFFFFF"/>
                  </a:solidFill>
                </a:defRPr>
              </a:pPr>
              <a:endParaRPr/>
            </a:p>
          </xdr:txBody>
        </xdr:sp>
        <xdr:sp macro="" textlink="">
          <xdr:nvSpPr>
            <xdr:cNvPr id="16" name="Circle">
              <a:extLst>
                <a:ext uri="{FF2B5EF4-FFF2-40B4-BE49-F238E27FC236}">
                  <a16:creationId xmlns:a16="http://schemas.microsoft.com/office/drawing/2014/main" id="{B1EC30CA-F018-4627-9BBF-CD3965EB1824}"/>
                </a:ext>
              </a:extLst>
            </xdr:cNvPr>
            <xdr:cNvSpPr/>
          </xdr:nvSpPr>
          <xdr:spPr>
            <a:xfrm>
              <a:off x="5920964" y="5024288"/>
              <a:ext cx="379283" cy="379283"/>
            </a:xfrm>
            <a:prstGeom prst="ellipse">
              <a:avLst/>
            </a:prstGeom>
            <a:solidFill>
              <a:sysClr val="windowText" lastClr="000000">
                <a:lumMod val="95000"/>
                <a:lumOff val="5000"/>
              </a:sysClr>
            </a:solidFill>
            <a:ln w="12700">
              <a:miter lim="400000"/>
            </a:ln>
          </xdr:spPr>
          <xdr:txBody>
            <a:bodyPr wrap="square" lIns="38100" tIns="38100" rIns="38100" bIns="38100" anchor="ctr"/>
            <a:lstStyle>
              <a:defPPr>
                <a:defRPr lang="en-US"/>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a:defRPr sz="3000">
                  <a:solidFill>
                    <a:srgbClr val="FFFFFF"/>
                  </a:solidFill>
                </a:defRPr>
              </a:pPr>
              <a:endParaRPr/>
            </a:p>
          </xdr:txBody>
        </xdr:sp>
      </xdr:grpSp>
    </xdr:grpSp>
    <xdr:clientData/>
  </xdr:twoCellAnchor>
  <xdr:twoCellAnchor>
    <xdr:from>
      <xdr:col>1</xdr:col>
      <xdr:colOff>0</xdr:colOff>
      <xdr:row>57</xdr:row>
      <xdr:rowOff>22859</xdr:rowOff>
    </xdr:from>
    <xdr:to>
      <xdr:col>7</xdr:col>
      <xdr:colOff>0</xdr:colOff>
      <xdr:row>67</xdr:row>
      <xdr:rowOff>140804</xdr:rowOff>
    </xdr:to>
    <xdr:graphicFrame macro="">
      <xdr:nvGraphicFramePr>
        <xdr:cNvPr id="26" name="Chart 25">
          <a:extLst>
            <a:ext uri="{FF2B5EF4-FFF2-40B4-BE49-F238E27FC236}">
              <a16:creationId xmlns:a16="http://schemas.microsoft.com/office/drawing/2014/main" id="{4491FBD0-B9E6-450F-B66E-E0B59AB60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57</xdr:row>
      <xdr:rowOff>22860</xdr:rowOff>
    </xdr:from>
    <xdr:to>
      <xdr:col>13</xdr:col>
      <xdr:colOff>601980</xdr:colOff>
      <xdr:row>65</xdr:row>
      <xdr:rowOff>175260</xdr:rowOff>
    </xdr:to>
    <xdr:graphicFrame macro="">
      <xdr:nvGraphicFramePr>
        <xdr:cNvPr id="27" name="Chart 26">
          <a:extLst>
            <a:ext uri="{FF2B5EF4-FFF2-40B4-BE49-F238E27FC236}">
              <a16:creationId xmlns:a16="http://schemas.microsoft.com/office/drawing/2014/main" id="{613503D6-1151-4DEC-9173-77D280D85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18202</xdr:colOff>
      <xdr:row>69</xdr:row>
      <xdr:rowOff>1905</xdr:rowOff>
    </xdr:from>
    <xdr:to>
      <xdr:col>6</xdr:col>
      <xdr:colOff>606847</xdr:colOff>
      <xdr:row>78</xdr:row>
      <xdr:rowOff>76200</xdr:rowOff>
    </xdr:to>
    <xdr:graphicFrame macro="">
      <xdr:nvGraphicFramePr>
        <xdr:cNvPr id="30" name="Chart 29">
          <a:extLst>
            <a:ext uri="{FF2B5EF4-FFF2-40B4-BE49-F238E27FC236}">
              <a16:creationId xmlns:a16="http://schemas.microsoft.com/office/drawing/2014/main" id="{F3FEE02D-B30F-455B-962D-DB0DECB09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69</xdr:row>
      <xdr:rowOff>15239</xdr:rowOff>
    </xdr:from>
    <xdr:to>
      <xdr:col>21</xdr:col>
      <xdr:colOff>0</xdr:colOff>
      <xdr:row>82</xdr:row>
      <xdr:rowOff>67236</xdr:rowOff>
    </xdr:to>
    <xdr:graphicFrame macro="">
      <xdr:nvGraphicFramePr>
        <xdr:cNvPr id="32" name="Chart 31">
          <a:extLst>
            <a:ext uri="{FF2B5EF4-FFF2-40B4-BE49-F238E27FC236}">
              <a16:creationId xmlns:a16="http://schemas.microsoft.com/office/drawing/2014/main" id="{DCD5817F-F5B4-4CE4-90A4-9F2A536AB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92</xdr:row>
      <xdr:rowOff>22860</xdr:rowOff>
    </xdr:from>
    <xdr:to>
      <xdr:col>6</xdr:col>
      <xdr:colOff>601980</xdr:colOff>
      <xdr:row>100</xdr:row>
      <xdr:rowOff>167640</xdr:rowOff>
    </xdr:to>
    <xdr:graphicFrame macro="">
      <xdr:nvGraphicFramePr>
        <xdr:cNvPr id="34" name="Chart 33">
          <a:extLst>
            <a:ext uri="{FF2B5EF4-FFF2-40B4-BE49-F238E27FC236}">
              <a16:creationId xmlns:a16="http://schemas.microsoft.com/office/drawing/2014/main" id="{AADB2447-AFB6-40D8-B93E-A89B8A71C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600635</xdr:colOff>
      <xdr:row>103</xdr:row>
      <xdr:rowOff>24207</xdr:rowOff>
    </xdr:from>
    <xdr:to>
      <xdr:col>6</xdr:col>
      <xdr:colOff>593015</xdr:colOff>
      <xdr:row>112</xdr:row>
      <xdr:rowOff>168987</xdr:rowOff>
    </xdr:to>
    <xdr:graphicFrame macro="">
      <xdr:nvGraphicFramePr>
        <xdr:cNvPr id="39" name="Chart 38">
          <a:extLst>
            <a:ext uri="{FF2B5EF4-FFF2-40B4-BE49-F238E27FC236}">
              <a16:creationId xmlns:a16="http://schemas.microsoft.com/office/drawing/2014/main" id="{A21017A9-EB7C-4E05-B955-CC094944F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80</xdr:row>
      <xdr:rowOff>15240</xdr:rowOff>
    </xdr:from>
    <xdr:to>
      <xdr:col>6</xdr:col>
      <xdr:colOff>582930</xdr:colOff>
      <xdr:row>90</xdr:row>
      <xdr:rowOff>129540</xdr:rowOff>
    </xdr:to>
    <xdr:graphicFrame macro="">
      <xdr:nvGraphicFramePr>
        <xdr:cNvPr id="36" name="Chart 35">
          <a:extLst>
            <a:ext uri="{FF2B5EF4-FFF2-40B4-BE49-F238E27FC236}">
              <a16:creationId xmlns:a16="http://schemas.microsoft.com/office/drawing/2014/main" id="{DC921770-1149-455E-A270-D88439E36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0</xdr:colOff>
      <xdr:row>92</xdr:row>
      <xdr:rowOff>0</xdr:rowOff>
    </xdr:from>
    <xdr:to>
      <xdr:col>21</xdr:col>
      <xdr:colOff>7620</xdr:colOff>
      <xdr:row>101</xdr:row>
      <xdr:rowOff>144780</xdr:rowOff>
    </xdr:to>
    <xdr:graphicFrame macro="">
      <xdr:nvGraphicFramePr>
        <xdr:cNvPr id="37" name="Chart 36">
          <a:extLst>
            <a:ext uri="{FF2B5EF4-FFF2-40B4-BE49-F238E27FC236}">
              <a16:creationId xmlns:a16="http://schemas.microsoft.com/office/drawing/2014/main" id="{1B031EB3-14BE-41FC-9F65-759002A60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504825</xdr:colOff>
      <xdr:row>26</xdr:row>
      <xdr:rowOff>0</xdr:rowOff>
    </xdr:from>
    <xdr:to>
      <xdr:col>7</xdr:col>
      <xdr:colOff>11430</xdr:colOff>
      <xdr:row>39</xdr:row>
      <xdr:rowOff>68580</xdr:rowOff>
    </xdr:to>
    <xdr:graphicFrame macro="">
      <xdr:nvGraphicFramePr>
        <xdr:cNvPr id="38" name="Chart 37">
          <a:extLst>
            <a:ext uri="{FF2B5EF4-FFF2-40B4-BE49-F238E27FC236}">
              <a16:creationId xmlns:a16="http://schemas.microsoft.com/office/drawing/2014/main" id="{A4B1B811-E4E6-42EF-BE30-9C6B4959C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0</xdr:colOff>
      <xdr:row>92</xdr:row>
      <xdr:rowOff>15240</xdr:rowOff>
    </xdr:from>
    <xdr:to>
      <xdr:col>14</xdr:col>
      <xdr:colOff>0</xdr:colOff>
      <xdr:row>101</xdr:row>
      <xdr:rowOff>137160</xdr:rowOff>
    </xdr:to>
    <xdr:graphicFrame macro="">
      <xdr:nvGraphicFramePr>
        <xdr:cNvPr id="45" name="Chart 44">
          <a:extLst>
            <a:ext uri="{FF2B5EF4-FFF2-40B4-BE49-F238E27FC236}">
              <a16:creationId xmlns:a16="http://schemas.microsoft.com/office/drawing/2014/main" id="{5779EEC2-8828-4AD9-BD59-141DEAA57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1</xdr:colOff>
      <xdr:row>14</xdr:row>
      <xdr:rowOff>1</xdr:rowOff>
    </xdr:from>
    <xdr:to>
      <xdr:col>7</xdr:col>
      <xdr:colOff>1</xdr:colOff>
      <xdr:row>24</xdr:row>
      <xdr:rowOff>161925</xdr:rowOff>
    </xdr:to>
    <xdr:graphicFrame macro="">
      <xdr:nvGraphicFramePr>
        <xdr:cNvPr id="48" name="Chart 47">
          <a:extLst>
            <a:ext uri="{FF2B5EF4-FFF2-40B4-BE49-F238E27FC236}">
              <a16:creationId xmlns:a16="http://schemas.microsoft.com/office/drawing/2014/main" id="{E6C227EA-0BF1-439E-BA17-9352F8BD7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0</xdr:colOff>
      <xdr:row>41</xdr:row>
      <xdr:rowOff>0</xdr:rowOff>
    </xdr:from>
    <xdr:to>
      <xdr:col>7</xdr:col>
      <xdr:colOff>66675</xdr:colOff>
      <xdr:row>54</xdr:row>
      <xdr:rowOff>99060</xdr:rowOff>
    </xdr:to>
    <xdr:graphicFrame macro="">
      <xdr:nvGraphicFramePr>
        <xdr:cNvPr id="51" name="Chart 50">
          <a:extLst>
            <a:ext uri="{FF2B5EF4-FFF2-40B4-BE49-F238E27FC236}">
              <a16:creationId xmlns:a16="http://schemas.microsoft.com/office/drawing/2014/main" id="{7EB14147-FCAB-430B-94F9-8DF4E9244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0</xdr:colOff>
      <xdr:row>41</xdr:row>
      <xdr:rowOff>0</xdr:rowOff>
    </xdr:from>
    <xdr:to>
      <xdr:col>14</xdr:col>
      <xdr:colOff>0</xdr:colOff>
      <xdr:row>55</xdr:row>
      <xdr:rowOff>114300</xdr:rowOff>
    </xdr:to>
    <xdr:graphicFrame macro="">
      <xdr:nvGraphicFramePr>
        <xdr:cNvPr id="54" name="Chart 53">
          <a:extLst>
            <a:ext uri="{FF2B5EF4-FFF2-40B4-BE49-F238E27FC236}">
              <a16:creationId xmlns:a16="http://schemas.microsoft.com/office/drawing/2014/main" id="{6E4B837D-9654-4233-BF47-8F22CB5E1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11206</xdr:colOff>
      <xdr:row>41</xdr:row>
      <xdr:rowOff>0</xdr:rowOff>
    </xdr:from>
    <xdr:to>
      <xdr:col>21</xdr:col>
      <xdr:colOff>11206</xdr:colOff>
      <xdr:row>55</xdr:row>
      <xdr:rowOff>114300</xdr:rowOff>
    </xdr:to>
    <xdr:graphicFrame macro="">
      <xdr:nvGraphicFramePr>
        <xdr:cNvPr id="55" name="Chart 54">
          <a:extLst>
            <a:ext uri="{FF2B5EF4-FFF2-40B4-BE49-F238E27FC236}">
              <a16:creationId xmlns:a16="http://schemas.microsoft.com/office/drawing/2014/main" id="{A5696CCC-3D8C-44C2-9456-B7C018153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593912</xdr:colOff>
      <xdr:row>14</xdr:row>
      <xdr:rowOff>31712</xdr:rowOff>
    </xdr:from>
    <xdr:to>
      <xdr:col>20</xdr:col>
      <xdr:colOff>627529</xdr:colOff>
      <xdr:row>24</xdr:row>
      <xdr:rowOff>141865</xdr:rowOff>
    </xdr:to>
    <xdr:graphicFrame macro="">
      <xdr:nvGraphicFramePr>
        <xdr:cNvPr id="58" name="Chart 57">
          <a:extLst>
            <a:ext uri="{FF2B5EF4-FFF2-40B4-BE49-F238E27FC236}">
              <a16:creationId xmlns:a16="http://schemas.microsoft.com/office/drawing/2014/main" id="{F332ECD7-1C21-4EA8-BFE8-C71CCA95D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0</xdr:colOff>
      <xdr:row>14</xdr:row>
      <xdr:rowOff>0</xdr:rowOff>
    </xdr:from>
    <xdr:to>
      <xdr:col>14</xdr:col>
      <xdr:colOff>38100</xdr:colOff>
      <xdr:row>24</xdr:row>
      <xdr:rowOff>161925</xdr:rowOff>
    </xdr:to>
    <xdr:graphicFrame macro="">
      <xdr:nvGraphicFramePr>
        <xdr:cNvPr id="59" name="Chart 58">
          <a:extLst>
            <a:ext uri="{FF2B5EF4-FFF2-40B4-BE49-F238E27FC236}">
              <a16:creationId xmlns:a16="http://schemas.microsoft.com/office/drawing/2014/main" id="{2B4337BD-F02D-4419-A415-F68E99C87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0</xdr:colOff>
      <xdr:row>57</xdr:row>
      <xdr:rowOff>0</xdr:rowOff>
    </xdr:from>
    <xdr:to>
      <xdr:col>20</xdr:col>
      <xdr:colOff>586740</xdr:colOff>
      <xdr:row>67</xdr:row>
      <xdr:rowOff>129540</xdr:rowOff>
    </xdr:to>
    <xdr:graphicFrame macro="">
      <xdr:nvGraphicFramePr>
        <xdr:cNvPr id="60" name="Chart 59">
          <a:extLst>
            <a:ext uri="{FF2B5EF4-FFF2-40B4-BE49-F238E27FC236}">
              <a16:creationId xmlns:a16="http://schemas.microsoft.com/office/drawing/2014/main" id="{1BC10A98-7B9C-440B-BB21-DEF2D1E19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7620</xdr:colOff>
      <xdr:row>69</xdr:row>
      <xdr:rowOff>7620</xdr:rowOff>
    </xdr:from>
    <xdr:to>
      <xdr:col>14</xdr:col>
      <xdr:colOff>7620</xdr:colOff>
      <xdr:row>78</xdr:row>
      <xdr:rowOff>121920</xdr:rowOff>
    </xdr:to>
    <xdr:graphicFrame macro="">
      <xdr:nvGraphicFramePr>
        <xdr:cNvPr id="40" name="Chart 39">
          <a:extLst>
            <a:ext uri="{FF2B5EF4-FFF2-40B4-BE49-F238E27FC236}">
              <a16:creationId xmlns:a16="http://schemas.microsoft.com/office/drawing/2014/main" id="{B613EC3D-1817-487A-8F61-E2543A9C9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1906</xdr:colOff>
      <xdr:row>26</xdr:row>
      <xdr:rowOff>16696</xdr:rowOff>
    </xdr:from>
    <xdr:to>
      <xdr:col>14</xdr:col>
      <xdr:colOff>11206</xdr:colOff>
      <xdr:row>39</xdr:row>
      <xdr:rowOff>160691</xdr:rowOff>
    </xdr:to>
    <xdr:graphicFrame macro="">
      <xdr:nvGraphicFramePr>
        <xdr:cNvPr id="44" name="Chart 43">
          <a:extLst>
            <a:ext uri="{FF2B5EF4-FFF2-40B4-BE49-F238E27FC236}">
              <a16:creationId xmlns:a16="http://schemas.microsoft.com/office/drawing/2014/main" id="{245486B6-CFA1-4BF5-8FE2-D9B2F39FF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15015</xdr:colOff>
      <xdr:row>26</xdr:row>
      <xdr:rowOff>20507</xdr:rowOff>
    </xdr:from>
    <xdr:to>
      <xdr:col>21</xdr:col>
      <xdr:colOff>1904</xdr:colOff>
      <xdr:row>39</xdr:row>
      <xdr:rowOff>158787</xdr:rowOff>
    </xdr:to>
    <xdr:graphicFrame macro="">
      <xdr:nvGraphicFramePr>
        <xdr:cNvPr id="46" name="Chart 45">
          <a:extLst>
            <a:ext uri="{FF2B5EF4-FFF2-40B4-BE49-F238E27FC236}">
              <a16:creationId xmlns:a16="http://schemas.microsoft.com/office/drawing/2014/main" id="{4B35D799-0D91-4C0F-8C36-E0BEA7EDE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15</xdr:col>
      <xdr:colOff>597776</xdr:colOff>
      <xdr:row>49</xdr:row>
      <xdr:rowOff>19707</xdr:rowOff>
    </xdr:from>
    <xdr:to>
      <xdr:col>20</xdr:col>
      <xdr:colOff>440121</xdr:colOff>
      <xdr:row>49</xdr:row>
      <xdr:rowOff>19707</xdr:rowOff>
    </xdr:to>
    <xdr:cxnSp macro="">
      <xdr:nvCxnSpPr>
        <xdr:cNvPr id="6" name="Straight Connector 5">
          <a:extLst>
            <a:ext uri="{FF2B5EF4-FFF2-40B4-BE49-F238E27FC236}">
              <a16:creationId xmlns:a16="http://schemas.microsoft.com/office/drawing/2014/main" id="{5858C01B-D5C5-74B3-04F0-7A31D654FA7E}"/>
            </a:ext>
          </a:extLst>
        </xdr:cNvPr>
        <xdr:cNvCxnSpPr/>
      </xdr:nvCxnSpPr>
      <xdr:spPr>
        <a:xfrm>
          <a:off x="8795845" y="9708931"/>
          <a:ext cx="2877207" cy="0"/>
        </a:xfrm>
        <a:prstGeom prst="line">
          <a:avLst/>
        </a:prstGeom>
        <a:ln>
          <a:solidFill>
            <a:schemeClr val="accent2"/>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605659</xdr:colOff>
      <xdr:row>47</xdr:row>
      <xdr:rowOff>119556</xdr:rowOff>
    </xdr:from>
    <xdr:to>
      <xdr:col>20</xdr:col>
      <xdr:colOff>448004</xdr:colOff>
      <xdr:row>47</xdr:row>
      <xdr:rowOff>119556</xdr:rowOff>
    </xdr:to>
    <xdr:cxnSp macro="">
      <xdr:nvCxnSpPr>
        <xdr:cNvPr id="8" name="Straight Connector 7">
          <a:extLst>
            <a:ext uri="{FF2B5EF4-FFF2-40B4-BE49-F238E27FC236}">
              <a16:creationId xmlns:a16="http://schemas.microsoft.com/office/drawing/2014/main" id="{C8891C1D-9791-44BE-A31B-25BA702ACB3B}"/>
            </a:ext>
          </a:extLst>
        </xdr:cNvPr>
        <xdr:cNvCxnSpPr/>
      </xdr:nvCxnSpPr>
      <xdr:spPr>
        <a:xfrm>
          <a:off x="8803728" y="9427780"/>
          <a:ext cx="2877207" cy="0"/>
        </a:xfrm>
        <a:prstGeom prst="line">
          <a:avLst/>
        </a:prstGeom>
        <a:ln w="6350">
          <a:solidFill>
            <a:schemeClr val="accent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495300</xdr:colOff>
      <xdr:row>41</xdr:row>
      <xdr:rowOff>93870</xdr:rowOff>
    </xdr:from>
    <xdr:to>
      <xdr:col>13</xdr:col>
      <xdr:colOff>142876</xdr:colOff>
      <xdr:row>50</xdr:row>
      <xdr:rowOff>163637</xdr:rowOff>
    </xdr:to>
    <xdr:sp macro="" textlink="">
      <xdr:nvSpPr>
        <xdr:cNvPr id="11" name="Rectangle 10">
          <a:extLst>
            <a:ext uri="{FF2B5EF4-FFF2-40B4-BE49-F238E27FC236}">
              <a16:creationId xmlns:a16="http://schemas.microsoft.com/office/drawing/2014/main" id="{6308F9FD-F30C-4089-ABC7-9608E56C7695}"/>
            </a:ext>
          </a:extLst>
        </xdr:cNvPr>
        <xdr:cNvSpPr/>
      </xdr:nvSpPr>
      <xdr:spPr>
        <a:xfrm>
          <a:off x="7210425" y="7885320"/>
          <a:ext cx="257176" cy="1698542"/>
        </a:xfrm>
        <a:prstGeom prst="rect">
          <a:avLst/>
        </a:prstGeom>
        <a:solidFill>
          <a:schemeClr val="accent3">
            <a:lumMod val="75000"/>
            <a:alpha val="20000"/>
          </a:schemeClr>
        </a:solidFill>
        <a:ln w="6350">
          <a:noFill/>
        </a:ln>
      </xdr:spPr>
      <xdr:style>
        <a:lnRef idx="2">
          <a:schemeClr val="accent2"/>
        </a:lnRef>
        <a:fillRef idx="1">
          <a:schemeClr val="lt1"/>
        </a:fillRef>
        <a:effectRef idx="0">
          <a:schemeClr val="accent2"/>
        </a:effectRef>
        <a:fontRef idx="minor">
          <a:schemeClr val="dk1"/>
        </a:fontRef>
      </xdr:style>
      <xdr:txBody>
        <a:bodyPr vertOverflow="clip" horzOverflow="clip" lIns="36000" tIns="0" rIns="0" bIns="0" rtlCol="0" anchor="t"/>
        <a:lstStyle/>
        <a:p>
          <a:pPr algn="r">
            <a:spcBef>
              <a:spcPts val="600"/>
            </a:spcBef>
          </a:pPr>
          <a:r>
            <a:rPr lang="en-US" sz="600" b="0">
              <a:solidFill>
                <a:schemeClr val="bg2">
                  <a:lumMod val="50000"/>
                </a:schemeClr>
              </a:solidFill>
            </a:rPr>
            <a:t>WMS</a:t>
          </a:r>
          <a:endParaRPr lang="ru-RU" sz="600" b="0">
            <a:solidFill>
              <a:schemeClr val="bg2">
                <a:lumMod val="50000"/>
              </a:schemeClr>
            </a:solidFill>
          </a:endParaRPr>
        </a:p>
      </xdr:txBody>
    </xdr:sp>
    <xdr:clientData/>
  </xdr:twoCellAnchor>
  <xdr:twoCellAnchor>
    <xdr:from>
      <xdr:col>16</xdr:col>
      <xdr:colOff>30826</xdr:colOff>
      <xdr:row>42</xdr:row>
      <xdr:rowOff>178202</xdr:rowOff>
    </xdr:from>
    <xdr:to>
      <xdr:col>19</xdr:col>
      <xdr:colOff>451225</xdr:colOff>
      <xdr:row>45</xdr:row>
      <xdr:rowOff>68925</xdr:rowOff>
    </xdr:to>
    <xdr:sp macro="" textlink="">
      <xdr:nvSpPr>
        <xdr:cNvPr id="25" name="Callout: Line 24">
          <a:extLst>
            <a:ext uri="{FF2B5EF4-FFF2-40B4-BE49-F238E27FC236}">
              <a16:creationId xmlns:a16="http://schemas.microsoft.com/office/drawing/2014/main" id="{99E878D6-F606-42FD-947A-85B5F52B7EB8}"/>
            </a:ext>
          </a:extLst>
        </xdr:cNvPr>
        <xdr:cNvSpPr/>
      </xdr:nvSpPr>
      <xdr:spPr>
        <a:xfrm>
          <a:off x="8847166" y="8224922"/>
          <a:ext cx="2249199" cy="439363"/>
        </a:xfrm>
        <a:prstGeom prst="borderCallout1">
          <a:avLst>
            <a:gd name="adj1" fmla="val 46942"/>
            <a:gd name="adj2" fmla="val 100643"/>
            <a:gd name="adj3" fmla="val 102599"/>
            <a:gd name="adj4" fmla="val 126955"/>
          </a:avLst>
        </a:prstGeom>
        <a:solidFill>
          <a:schemeClr val="lt1">
            <a:alpha val="75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r>
            <a:rPr lang="en-US" sz="1100">
              <a:solidFill>
                <a:schemeClr val="dk1"/>
              </a:solidFill>
              <a:effectLst/>
              <a:latin typeface="+mn-lt"/>
              <a:ea typeface="+mn-ea"/>
              <a:cs typeface="+mn-cs"/>
            </a:rPr>
            <a:t>smooth</a:t>
          </a:r>
          <a:r>
            <a:rPr lang="en-US" sz="1100" baseline="0">
              <a:solidFill>
                <a:schemeClr val="dk1"/>
              </a:solidFill>
              <a:effectLst/>
              <a:latin typeface="+mn-lt"/>
              <a:ea typeface="+mn-ea"/>
              <a:cs typeface="+mn-cs"/>
            </a:rPr>
            <a:t> recovery</a:t>
          </a:r>
          <a:r>
            <a:rPr lang="ru-RU" sz="1100">
              <a:solidFill>
                <a:schemeClr val="dk1"/>
              </a:solidFill>
              <a:effectLst/>
              <a:latin typeface="+mn-lt"/>
              <a:ea typeface="+mn-ea"/>
              <a:cs typeface="+mn-cs"/>
            </a:rPr>
            <a:t> </a:t>
          </a:r>
          <a:endParaRPr lang="en-US" sz="1100">
            <a:solidFill>
              <a:schemeClr val="dk1"/>
            </a:solidFill>
            <a:effectLst/>
            <a:latin typeface="+mn-lt"/>
            <a:ea typeface="+mn-ea"/>
            <a:cs typeface="+mn-cs"/>
          </a:endParaRPr>
        </a:p>
      </xdr:txBody>
    </xdr:sp>
    <xdr:clientData/>
  </xdr:twoCellAnchor>
  <xdr:twoCellAnchor>
    <xdr:from>
      <xdr:col>14</xdr:col>
      <xdr:colOff>190500</xdr:colOff>
      <xdr:row>55</xdr:row>
      <xdr:rowOff>123825</xdr:rowOff>
    </xdr:from>
    <xdr:to>
      <xdr:col>21</xdr:col>
      <xdr:colOff>104775</xdr:colOff>
      <xdr:row>67</xdr:row>
      <xdr:rowOff>142875</xdr:rowOff>
    </xdr:to>
    <xdr:sp macro="" textlink="">
      <xdr:nvSpPr>
        <xdr:cNvPr id="3" name="Rectangle 2">
          <a:extLst>
            <a:ext uri="{FF2B5EF4-FFF2-40B4-BE49-F238E27FC236}">
              <a16:creationId xmlns:a16="http://schemas.microsoft.com/office/drawing/2014/main" id="{CB85B712-25BA-7958-E169-FC588BB28FDD}"/>
            </a:ext>
          </a:extLst>
        </xdr:cNvPr>
        <xdr:cNvSpPr/>
      </xdr:nvSpPr>
      <xdr:spPr>
        <a:xfrm>
          <a:off x="8124825" y="10448925"/>
          <a:ext cx="3914775" cy="2200275"/>
        </a:xfrm>
        <a:prstGeom prst="rect">
          <a:avLst/>
        </a:prstGeom>
        <a:solidFill>
          <a:schemeClr val="bg2">
            <a:alpha val="84000"/>
          </a:schemeClr>
        </a:solidFill>
        <a:ln w="9525" cap="flat" cmpd="sng" algn="ctr">
          <a:noFill/>
          <a:prstDash val="solid"/>
          <a:round/>
          <a:headEnd type="none" w="med" len="med"/>
          <a:tailEnd type="none" w="med" len="med"/>
        </a:ln>
      </xdr:spPr>
      <xdr:style>
        <a:lnRef idx="0">
          <a:scrgbClr r="0" g="0" b="0"/>
        </a:lnRef>
        <a:fillRef idx="0">
          <a:scrgbClr r="0" g="0" b="0"/>
        </a:fillRef>
        <a:effectRef idx="0">
          <a:scrgbClr r="0" g="0" b="0"/>
        </a:effectRef>
        <a:fontRef idx="minor">
          <a:schemeClr val="accent3"/>
        </a:fontRef>
      </xdr:style>
      <xdr:txBody>
        <a:bodyPr vertOverflow="clip" horzOverflow="clip" rtlCol="0" anchor="ctr"/>
        <a:lstStyle/>
        <a:p>
          <a:pPr lvl="0" algn="ctr"/>
          <a:r>
            <a:rPr lang="en-US" sz="1100" kern="1200">
              <a:solidFill>
                <a:sysClr val="windowText" lastClr="000000"/>
              </a:solidFill>
            </a:rPr>
            <a:t>Not</a:t>
          </a:r>
          <a:r>
            <a:rPr lang="en-US" sz="1100" kern="1200" baseline="0">
              <a:solidFill>
                <a:sysClr val="windowText" lastClr="000000"/>
              </a:solidFill>
            </a:rPr>
            <a:t> Actual with new WMS</a:t>
          </a:r>
          <a:endParaRPr lang="ru-RU" sz="1100" kern="1200">
            <a:solidFill>
              <a:sysClr val="windowText" lastClr="000000"/>
            </a:solidFill>
          </a:endParaRPr>
        </a:p>
      </xdr:txBody>
    </xdr:sp>
    <xdr:clientData/>
  </xdr:twoCellAnchor>
  <xdr:twoCellAnchor>
    <xdr:from>
      <xdr:col>0</xdr:col>
      <xdr:colOff>291465</xdr:colOff>
      <xdr:row>67</xdr:row>
      <xdr:rowOff>131445</xdr:rowOff>
    </xdr:from>
    <xdr:to>
      <xdr:col>7</xdr:col>
      <xdr:colOff>83820</xdr:colOff>
      <xdr:row>78</xdr:row>
      <xdr:rowOff>99060</xdr:rowOff>
    </xdr:to>
    <xdr:sp macro="" textlink="">
      <xdr:nvSpPr>
        <xdr:cNvPr id="4" name="Rectangle 3">
          <a:extLst>
            <a:ext uri="{FF2B5EF4-FFF2-40B4-BE49-F238E27FC236}">
              <a16:creationId xmlns:a16="http://schemas.microsoft.com/office/drawing/2014/main" id="{428CE31F-A850-4907-B598-E3522BA9C3AB}"/>
            </a:ext>
          </a:extLst>
        </xdr:cNvPr>
        <xdr:cNvSpPr/>
      </xdr:nvSpPr>
      <xdr:spPr>
        <a:xfrm>
          <a:off x="291465" y="12757785"/>
          <a:ext cx="3785235" cy="1986915"/>
        </a:xfrm>
        <a:prstGeom prst="rect">
          <a:avLst/>
        </a:prstGeom>
        <a:solidFill>
          <a:schemeClr val="bg2">
            <a:alpha val="84000"/>
          </a:schemeClr>
        </a:solidFill>
        <a:ln w="9525" cap="flat" cmpd="sng" algn="ctr">
          <a:noFill/>
          <a:prstDash val="solid"/>
          <a:round/>
          <a:headEnd type="none" w="med" len="med"/>
          <a:tailEnd type="none" w="med" len="med"/>
        </a:ln>
      </xdr:spPr>
      <xdr:style>
        <a:lnRef idx="0">
          <a:scrgbClr r="0" g="0" b="0"/>
        </a:lnRef>
        <a:fillRef idx="0">
          <a:scrgbClr r="0" g="0" b="0"/>
        </a:fillRef>
        <a:effectRef idx="0">
          <a:scrgbClr r="0" g="0" b="0"/>
        </a:effectRef>
        <a:fontRef idx="minor">
          <a:schemeClr val="accent3"/>
        </a:fontRef>
      </xdr:style>
      <xdr:txBody>
        <a:bodyPr vertOverflow="clip" horzOverflow="clip" rtlCol="0" anchor="ctr"/>
        <a:lstStyle/>
        <a:p>
          <a:pPr lvl="0" algn="ctr"/>
          <a:r>
            <a:rPr lang="en-US" sz="1100" kern="1200">
              <a:solidFill>
                <a:sysClr val="windowText" lastClr="000000"/>
              </a:solidFill>
            </a:rPr>
            <a:t>Not</a:t>
          </a:r>
          <a:r>
            <a:rPr lang="en-US" sz="1100" kern="1200" baseline="0">
              <a:solidFill>
                <a:sysClr val="windowText" lastClr="000000"/>
              </a:solidFill>
            </a:rPr>
            <a:t> Actual with new WMS</a:t>
          </a:r>
          <a:endParaRPr lang="ru-RU" sz="1100" kern="1200">
            <a:solidFill>
              <a:sysClr val="windowText" lastClr="000000"/>
            </a:solidFill>
          </a:endParaRPr>
        </a:p>
      </xdr:txBody>
    </xdr:sp>
    <xdr:clientData/>
  </xdr:twoCellAnchor>
  <xdr:twoCellAnchor>
    <xdr:from>
      <xdr:col>20</xdr:col>
      <xdr:colOff>314325</xdr:colOff>
      <xdr:row>41</xdr:row>
      <xdr:rowOff>50055</xdr:rowOff>
    </xdr:from>
    <xdr:to>
      <xdr:col>20</xdr:col>
      <xdr:colOff>567691</xdr:colOff>
      <xdr:row>50</xdr:row>
      <xdr:rowOff>116012</xdr:rowOff>
    </xdr:to>
    <xdr:sp macro="" textlink="">
      <xdr:nvSpPr>
        <xdr:cNvPr id="9" name="Rectangle 8">
          <a:extLst>
            <a:ext uri="{FF2B5EF4-FFF2-40B4-BE49-F238E27FC236}">
              <a16:creationId xmlns:a16="http://schemas.microsoft.com/office/drawing/2014/main" id="{8EF7F895-B160-4691-89C2-31A07A48CFE2}"/>
            </a:ext>
          </a:extLst>
        </xdr:cNvPr>
        <xdr:cNvSpPr/>
      </xdr:nvSpPr>
      <xdr:spPr>
        <a:xfrm>
          <a:off x="11572875" y="7841505"/>
          <a:ext cx="253366" cy="1694732"/>
        </a:xfrm>
        <a:prstGeom prst="rect">
          <a:avLst/>
        </a:prstGeom>
        <a:solidFill>
          <a:schemeClr val="accent3">
            <a:lumMod val="75000"/>
            <a:alpha val="20000"/>
          </a:schemeClr>
        </a:solidFill>
        <a:ln w="6350">
          <a:noFill/>
        </a:ln>
      </xdr:spPr>
      <xdr:style>
        <a:lnRef idx="2">
          <a:schemeClr val="accent2"/>
        </a:lnRef>
        <a:fillRef idx="1">
          <a:schemeClr val="lt1"/>
        </a:fillRef>
        <a:effectRef idx="0">
          <a:schemeClr val="accent2"/>
        </a:effectRef>
        <a:fontRef idx="minor">
          <a:schemeClr val="dk1"/>
        </a:fontRef>
      </xdr:style>
      <xdr:txBody>
        <a:bodyPr vertOverflow="clip" horzOverflow="clip" lIns="36000" tIns="0" rIns="0" bIns="0" rtlCol="0" anchor="t"/>
        <a:lstStyle/>
        <a:p>
          <a:pPr algn="r">
            <a:spcBef>
              <a:spcPts val="600"/>
            </a:spcBef>
          </a:pPr>
          <a:r>
            <a:rPr lang="en-US" sz="600" b="0">
              <a:solidFill>
                <a:schemeClr val="bg2">
                  <a:lumMod val="50000"/>
                </a:schemeClr>
              </a:solidFill>
            </a:rPr>
            <a:t>WMS</a:t>
          </a:r>
          <a:endParaRPr lang="ru-RU" sz="600" b="0">
            <a:solidFill>
              <a:schemeClr val="bg2">
                <a:lumMod val="50000"/>
              </a:schemeClr>
            </a:solidFill>
          </a:endParaRPr>
        </a:p>
      </xdr:txBody>
    </xdr:sp>
    <xdr:clientData/>
  </xdr:twoCellAnchor>
  <xdr:twoCellAnchor>
    <xdr:from>
      <xdr:col>6</xdr:col>
      <xdr:colOff>285750</xdr:colOff>
      <xdr:row>41</xdr:row>
      <xdr:rowOff>46245</xdr:rowOff>
    </xdr:from>
    <xdr:to>
      <xdr:col>6</xdr:col>
      <xdr:colOff>539116</xdr:colOff>
      <xdr:row>50</xdr:row>
      <xdr:rowOff>98867</xdr:rowOff>
    </xdr:to>
    <xdr:sp macro="" textlink="">
      <xdr:nvSpPr>
        <xdr:cNvPr id="24" name="Rectangle 23">
          <a:extLst>
            <a:ext uri="{FF2B5EF4-FFF2-40B4-BE49-F238E27FC236}">
              <a16:creationId xmlns:a16="http://schemas.microsoft.com/office/drawing/2014/main" id="{B21D12F8-B0C2-4F7B-86A9-1320F6D6BA21}"/>
            </a:ext>
          </a:extLst>
        </xdr:cNvPr>
        <xdr:cNvSpPr/>
      </xdr:nvSpPr>
      <xdr:spPr>
        <a:xfrm>
          <a:off x="3667125" y="7837695"/>
          <a:ext cx="253366" cy="1681397"/>
        </a:xfrm>
        <a:prstGeom prst="rect">
          <a:avLst/>
        </a:prstGeom>
        <a:solidFill>
          <a:schemeClr val="accent3">
            <a:lumMod val="75000"/>
            <a:alpha val="20000"/>
          </a:schemeClr>
        </a:solidFill>
        <a:ln w="6350">
          <a:noFill/>
        </a:ln>
      </xdr:spPr>
      <xdr:style>
        <a:lnRef idx="2">
          <a:schemeClr val="accent2"/>
        </a:lnRef>
        <a:fillRef idx="1">
          <a:schemeClr val="lt1"/>
        </a:fillRef>
        <a:effectRef idx="0">
          <a:schemeClr val="accent2"/>
        </a:effectRef>
        <a:fontRef idx="minor">
          <a:schemeClr val="dk1"/>
        </a:fontRef>
      </xdr:style>
      <xdr:txBody>
        <a:bodyPr vertOverflow="clip" horzOverflow="clip" lIns="36000" tIns="0" rIns="0" bIns="0" rtlCol="0" anchor="t"/>
        <a:lstStyle/>
        <a:p>
          <a:pPr algn="r">
            <a:spcBef>
              <a:spcPts val="600"/>
            </a:spcBef>
          </a:pPr>
          <a:r>
            <a:rPr lang="en-US" sz="600" b="0">
              <a:solidFill>
                <a:schemeClr val="bg2">
                  <a:lumMod val="50000"/>
                </a:schemeClr>
              </a:solidFill>
            </a:rPr>
            <a:t>WMS</a:t>
          </a:r>
          <a:endParaRPr lang="ru-RU" sz="600" b="0">
            <a:solidFill>
              <a:schemeClr val="bg2">
                <a:lumMod val="50000"/>
              </a:schemeClr>
            </a:solidFill>
          </a:endParaRPr>
        </a:p>
      </xdr:txBody>
    </xdr:sp>
    <xdr:clientData/>
  </xdr:twoCellAnchor>
  <xdr:twoCellAnchor>
    <xdr:from>
      <xdr:col>13</xdr:col>
      <xdr:colOff>291465</xdr:colOff>
      <xdr:row>14</xdr:row>
      <xdr:rowOff>47625</xdr:rowOff>
    </xdr:from>
    <xdr:to>
      <xdr:col>13</xdr:col>
      <xdr:colOff>548641</xdr:colOff>
      <xdr:row>19</xdr:row>
      <xdr:rowOff>173355</xdr:rowOff>
    </xdr:to>
    <xdr:sp macro="" textlink="">
      <xdr:nvSpPr>
        <xdr:cNvPr id="29" name="Rectangle 28">
          <a:extLst>
            <a:ext uri="{FF2B5EF4-FFF2-40B4-BE49-F238E27FC236}">
              <a16:creationId xmlns:a16="http://schemas.microsoft.com/office/drawing/2014/main" id="{426E6E31-8318-4875-8CEF-FCFC1A1630D3}"/>
            </a:ext>
          </a:extLst>
        </xdr:cNvPr>
        <xdr:cNvSpPr/>
      </xdr:nvSpPr>
      <xdr:spPr>
        <a:xfrm>
          <a:off x="7616190" y="2952750"/>
          <a:ext cx="257176" cy="1030605"/>
        </a:xfrm>
        <a:prstGeom prst="rect">
          <a:avLst/>
        </a:prstGeom>
        <a:solidFill>
          <a:schemeClr val="accent3">
            <a:lumMod val="75000"/>
            <a:alpha val="20000"/>
          </a:schemeClr>
        </a:solidFill>
        <a:ln w="6350">
          <a:noFill/>
        </a:ln>
      </xdr:spPr>
      <xdr:style>
        <a:lnRef idx="2">
          <a:schemeClr val="accent2"/>
        </a:lnRef>
        <a:fillRef idx="1">
          <a:schemeClr val="lt1"/>
        </a:fillRef>
        <a:effectRef idx="0">
          <a:schemeClr val="accent2"/>
        </a:effectRef>
        <a:fontRef idx="minor">
          <a:schemeClr val="dk1"/>
        </a:fontRef>
      </xdr:style>
      <xdr:txBody>
        <a:bodyPr vertOverflow="clip" horzOverflow="clip" lIns="36000" tIns="0" rIns="0" bIns="0" rtlCol="0" anchor="t"/>
        <a:lstStyle/>
        <a:p>
          <a:pPr algn="r">
            <a:spcBef>
              <a:spcPts val="600"/>
            </a:spcBef>
          </a:pPr>
          <a:r>
            <a:rPr lang="en-US" sz="600" b="0">
              <a:solidFill>
                <a:schemeClr val="bg2">
                  <a:lumMod val="50000"/>
                </a:schemeClr>
              </a:solidFill>
            </a:rPr>
            <a:t>WMS</a:t>
          </a:r>
          <a:endParaRPr lang="ru-RU" sz="600" b="0">
            <a:solidFill>
              <a:schemeClr val="bg2">
                <a:lumMod val="50000"/>
              </a:schemeClr>
            </a:solidFill>
          </a:endParaRPr>
        </a:p>
      </xdr:txBody>
    </xdr:sp>
    <xdr:clientData/>
  </xdr:twoCellAnchor>
  <xdr:twoCellAnchor>
    <xdr:from>
      <xdr:col>6</xdr:col>
      <xdr:colOff>190500</xdr:colOff>
      <xdr:row>80</xdr:row>
      <xdr:rowOff>26670</xdr:rowOff>
    </xdr:from>
    <xdr:to>
      <xdr:col>6</xdr:col>
      <xdr:colOff>445771</xdr:colOff>
      <xdr:row>86</xdr:row>
      <xdr:rowOff>0</xdr:rowOff>
    </xdr:to>
    <xdr:sp macro="" textlink="">
      <xdr:nvSpPr>
        <xdr:cNvPr id="33" name="Rectangle 32">
          <a:extLst>
            <a:ext uri="{FF2B5EF4-FFF2-40B4-BE49-F238E27FC236}">
              <a16:creationId xmlns:a16="http://schemas.microsoft.com/office/drawing/2014/main" id="{2D0D2D10-EA0E-4EF2-ABFD-9F766BFEAE5A}"/>
            </a:ext>
          </a:extLst>
        </xdr:cNvPr>
        <xdr:cNvSpPr/>
      </xdr:nvSpPr>
      <xdr:spPr>
        <a:xfrm>
          <a:off x="3571875" y="14904720"/>
          <a:ext cx="255271" cy="1059180"/>
        </a:xfrm>
        <a:prstGeom prst="rect">
          <a:avLst/>
        </a:prstGeom>
        <a:solidFill>
          <a:schemeClr val="accent3">
            <a:lumMod val="75000"/>
            <a:alpha val="20000"/>
          </a:schemeClr>
        </a:solidFill>
        <a:ln w="6350">
          <a:noFill/>
        </a:ln>
      </xdr:spPr>
      <xdr:style>
        <a:lnRef idx="2">
          <a:schemeClr val="accent2"/>
        </a:lnRef>
        <a:fillRef idx="1">
          <a:schemeClr val="lt1"/>
        </a:fillRef>
        <a:effectRef idx="0">
          <a:schemeClr val="accent2"/>
        </a:effectRef>
        <a:fontRef idx="minor">
          <a:schemeClr val="dk1"/>
        </a:fontRef>
      </xdr:style>
      <xdr:txBody>
        <a:bodyPr vertOverflow="clip" horzOverflow="clip" lIns="36000" tIns="0" rIns="0" bIns="0" rtlCol="0" anchor="t"/>
        <a:lstStyle/>
        <a:p>
          <a:pPr algn="r">
            <a:spcBef>
              <a:spcPts val="600"/>
            </a:spcBef>
          </a:pPr>
          <a:r>
            <a:rPr lang="en-US" sz="600" b="0">
              <a:solidFill>
                <a:schemeClr val="bg2">
                  <a:lumMod val="50000"/>
                </a:schemeClr>
              </a:solidFill>
            </a:rPr>
            <a:t>WMS</a:t>
          </a:r>
          <a:endParaRPr lang="ru-RU" sz="600" b="0">
            <a:solidFill>
              <a:schemeClr val="bg2">
                <a:lumMod val="50000"/>
              </a:schemeClr>
            </a:solidFill>
          </a:endParaRPr>
        </a:p>
      </xdr:txBody>
    </xdr:sp>
    <xdr:clientData/>
  </xdr:twoCellAnchor>
  <xdr:twoCellAnchor>
    <xdr:from>
      <xdr:col>6</xdr:col>
      <xdr:colOff>186690</xdr:colOff>
      <xdr:row>14</xdr:row>
      <xdr:rowOff>47625</xdr:rowOff>
    </xdr:from>
    <xdr:to>
      <xdr:col>6</xdr:col>
      <xdr:colOff>449581</xdr:colOff>
      <xdr:row>19</xdr:row>
      <xdr:rowOff>177165</xdr:rowOff>
    </xdr:to>
    <xdr:sp macro="" textlink="">
      <xdr:nvSpPr>
        <xdr:cNvPr id="35" name="Rectangle 34">
          <a:extLst>
            <a:ext uri="{FF2B5EF4-FFF2-40B4-BE49-F238E27FC236}">
              <a16:creationId xmlns:a16="http://schemas.microsoft.com/office/drawing/2014/main" id="{18464F28-7DE6-43C5-8415-A3F709580FA7}"/>
            </a:ext>
          </a:extLst>
        </xdr:cNvPr>
        <xdr:cNvSpPr/>
      </xdr:nvSpPr>
      <xdr:spPr>
        <a:xfrm>
          <a:off x="3568065" y="2952750"/>
          <a:ext cx="262891" cy="1034415"/>
        </a:xfrm>
        <a:prstGeom prst="rect">
          <a:avLst/>
        </a:prstGeom>
        <a:solidFill>
          <a:schemeClr val="accent3">
            <a:lumMod val="75000"/>
            <a:alpha val="20000"/>
          </a:schemeClr>
        </a:solidFill>
        <a:ln w="6350">
          <a:noFill/>
        </a:ln>
      </xdr:spPr>
      <xdr:style>
        <a:lnRef idx="2">
          <a:schemeClr val="accent2"/>
        </a:lnRef>
        <a:fillRef idx="1">
          <a:schemeClr val="lt1"/>
        </a:fillRef>
        <a:effectRef idx="0">
          <a:schemeClr val="accent2"/>
        </a:effectRef>
        <a:fontRef idx="minor">
          <a:schemeClr val="dk1"/>
        </a:fontRef>
      </xdr:style>
      <xdr:txBody>
        <a:bodyPr vertOverflow="clip" horzOverflow="clip" lIns="36000" tIns="0" rIns="0" bIns="0" rtlCol="0" anchor="t"/>
        <a:lstStyle/>
        <a:p>
          <a:pPr algn="r">
            <a:spcBef>
              <a:spcPts val="600"/>
            </a:spcBef>
          </a:pPr>
          <a:r>
            <a:rPr lang="en-US" sz="600" b="0">
              <a:solidFill>
                <a:schemeClr val="bg2">
                  <a:lumMod val="50000"/>
                </a:schemeClr>
              </a:solidFill>
            </a:rPr>
            <a:t>WMS</a:t>
          </a:r>
          <a:endParaRPr lang="ru-RU" sz="600" b="0">
            <a:solidFill>
              <a:schemeClr val="bg2">
                <a:lumMod val="50000"/>
              </a:schemeClr>
            </a:solidFill>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Denis Monaev" id="{E45F7787-BA74-424C-8A3A-CFF16909A0A1}" userId="S::DMonaev@coopervision.com::6c25ca8a-4419-4eb8-898a-3c078fe1b250" providerId="AD"/>
  <person displayName="Viktoria Efremova" id="{DDC878C5-42F0-4579-B670-42E3CC72D663}" userId="S::vefremova@coopervision.com::9d5883a8-3ab5-4692-8605-71a700980a67"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M8" dT="2025-06-06T07:46:37.92" personId="{DDC878C5-42F0-4579-B670-42E3CC72D663}" id="{D1686F42-3685-4896-B577-E2F6B833B66F}">
    <text xml:space="preserve">Вырос за счет коммерции Сферы – это накопительный эффект по Биомедиксу и Airway Premium 1 Day 30 pk из-за незапланированного перепотребления в конце апреля. Сейчас проблема решена, так как сток был привезен и отгружен.
+ отложенная отгрузка по iWear Active и Proclear 6 pk  - в первую машину после кат-оффа продукты не попали, так как был приоритет по Май Дэй. Попали в следующую машину, которая приехала позже и попала на сток позже.
</text>
  </threadedComment>
  <threadedComment ref="N8" dT="2025-07-04T06:55:50.96" personId="{DDC878C5-42F0-4579-B670-42E3CC72D663}" id="{4560AD11-FA9D-4E02-AACC-92E84DB83AD4}">
    <text xml:space="preserve">Показатель по коммерции Сфере снижается (что есть хорошо), но пока еще находится на относительно высоком уровне в связи с ООС по выводимому продукту Проклиар 6 пк. В июне клиентов оповестили о делистинге данной линейки и случилась перепродажа. Позиции уже едут в 12 машине – на стоке во второй половине июля.
А вообще для нас это не критично, как сказал маркетинг – нам нужно по-максимуму убрать сток, лучше ООС, чем большой остаток стока под списание.
</text>
  </threadedComment>
  <threadedComment ref="O8" dT="2025-08-01T08:29:06.86" personId="{DDC878C5-42F0-4579-B670-42E3CC72D663}" id="{96BF120C-A1C9-4A52-A2A3-0BB51DF7758C}">
    <text xml:space="preserve">Коомерция Сфера значительно подросла в связи с увеличением отсутствующих позиций по Проклиар 6 пк + последствие незапланированной перезатарки в июне Кордом Airway Premium 30 pk
Все позиции едут – Корд получит сток в августе, а Проклиар постепенно будет приходить в машинах до начала ноября. 
</text>
  </threadedComment>
  <threadedComment ref="F19" dT="2024-11-07T12:52:14.71" personId="{E45F7787-BA74-424C-8A3A-CFF16909A0A1}" id="{F0EC4A08-6C0C-4601-8801-BFDCC83574E4}">
    <text>Дима Монахов дал информацию</text>
  </threadedComment>
  <threadedComment ref="H19" dT="2025-01-13T10:38:36.85" personId="{E45F7787-BA74-424C-8A3A-CFF16909A0A1}" id="{C6D89F5B-64E3-496E-9645-5AFE45E1BBB3}">
    <text xml:space="preserve">За декабрь процент скана - 85% с учетом первых пяти дней, когда скан еще не работал.
Если делать статистику с 6 числа, то скан - 93%.
</text>
  </threadedComment>
  <threadedComment ref="H19" dT="2025-01-14T07:53:59.92" personId="{DDC878C5-42F0-4579-B670-42E3CC72D663}" id="{58EC43AD-69A9-498E-AD23-129C9BA50B14}" parentId="{C6D89F5B-64E3-496E-9645-5AFE45E1BBB3}">
    <text>В КПИ 80%, остальное верно ☺️</text>
  </threadedComment>
  <threadedComment ref="I19" dT="2025-02-11T12:21:15.37" personId="{E45F7787-BA74-424C-8A3A-CFF16909A0A1}" id="{65ED5F48-3E1C-4235-9EBE-802157150417}">
    <text>Было 99%</text>
  </threadedComment>
  <threadedComment ref="B22" dT="2022-09-07T08:28:41.35" personId="{DDC878C5-42F0-4579-B670-42E3CC72D663}" id="{41AF2C56-1D97-452A-91FF-D9E465406DCD}">
    <text>All resposibility areas included (BOMI, transportation, production damage and customer side accepted by CV)</text>
  </threadedComment>
  <threadedComment ref="B22" dT="2022-09-07T08:30:26.03" personId="{DDC878C5-42F0-4579-B670-42E3CC72D663}" id="{EB95BA13-19CD-4C48-AEF8-A187BC5F9B15}" parentId="{41AF2C56-1D97-452A-91FF-D9E465406DCD}">
    <text>w/o cancelled</text>
  </threadedComment>
  <threadedComment ref="B23" dT="2025-08-08T08:41:22.41" personId="{DDC878C5-42F0-4579-B670-42E3CC72D663}" id="{1B6AB80F-2992-4215-8A94-7B9466B368D0}">
    <text>Кол-во согласованных по вине склада</text>
  </threadedComment>
  <threadedComment ref="B24" dT="2025-08-08T08:41:27.67" personId="{DDC878C5-42F0-4579-B670-42E3CC72D663}" id="{205ABF97-99B0-4238-A418-1A901E1DF535}">
    <text>Кол-во согласованных по вине склада</text>
  </threadedComment>
  <threadedComment ref="B27" dT="2022-03-05T13:13:42.20" personId="{DDC878C5-42F0-4579-B670-42E3CC72D663}" id="{ED6D82C4-B35F-4008-BE84-F8F0DCD4EB92}">
    <text>SHIPMENTS (with Marketing)</text>
  </threadedComment>
  <threadedComment ref="B35" dT="2022-05-11T09:10:23.04" personId="{E45F7787-BA74-424C-8A3A-CFF16909A0A1}" id="{61041B4D-8F14-4DA3-84C8-63BDDFA05D65}">
    <text>Operating Expense Total</text>
  </threadedComment>
  <threadedComment ref="B36" dT="2022-05-11T09:10:41.98" personId="{E45F7787-BA74-424C-8A3A-CFF16909A0A1}" id="{EDFC0385-05E3-4FE5-99DA-0CA8E0F551B3}">
    <text>Volumes - Unit of Sales (Packs)</text>
  </threadedComment>
  <threadedComment ref="B38" dT="2023-04-07T11:47:03.06" personId="{DDC878C5-42F0-4579-B670-42E3CC72D663}" id="{6C1EC839-2916-40BA-B8E7-894F60B39296}">
    <text>incl returnes, exchanges and promo activities</text>
  </threadedComment>
  <threadedComment ref="T38" dT="2026-01-15T13:58:23.97" personId="{DDC878C5-42F0-4579-B670-42E3CC72D663}" id="{7401D39A-8F1C-4C42-955F-C504128E6B5C}">
    <text>Вкл 160 доп.ч.</text>
  </threadedComment>
  <threadedComment ref="Q39" dT="2025-10-06T12:50:15.39" personId="{DDC878C5-42F0-4579-B670-42E3CC72D663}" id="{1AAED322-49CC-4B1F-A561-FC220CBC37DB}">
    <text>Результат Ок, т.к. план стоял на 270ч выше стандарта. В итоге не хватило ресурса на дополнительные часы</text>
  </threadedComment>
  <threadedComment ref="S39" dT="2025-12-08T10:09:43.66" personId="{E45F7787-BA74-424C-8A3A-CFF16909A0A1}" id="{C12E3156-7C82-47B5-BCA6-2BE10380F77C}">
    <text>Точно совпадает с фактом?</text>
  </threadedComment>
  <threadedComment ref="S39" dT="2025-12-08T11:35:39.21" personId="{DDC878C5-42F0-4579-B670-42E3CC72D663}" id="{C6DE8969-F6D8-452F-87EC-85464217A80D}" parentId="{C12E3156-7C82-47B5-BCA6-2BE10380F77C}">
    <text>Явно подарки опять забыл. Пока вручную прибавила. Вагизу написала</text>
  </threadedComment>
  <threadedComment ref="P40" dT="2025-09-05T10:15:13.71" personId="{DDC878C5-42F0-4579-B670-42E3CC72D663}" id="{2F0C9A98-1773-4FB1-B77E-7ADED5199585}">
    <text>UK trucks delay</text>
  </threadedComment>
  <threadedComment ref="B41" dT="2022-03-05T07:19:26.03" personId="{DDC878C5-42F0-4579-B670-42E3CC72D663}" id="{7DB8AF45-7D0E-46FA-9914-CB022724A928}">
    <text>w/o marketing, but lines With marketing</text>
  </threadedComment>
  <threadedComment ref="B43" dT="2022-12-09T07:29:40.75" personId="{DDC878C5-42F0-4579-B670-42E3CC72D663}" id="{8BFBBFF0-9DE3-4C4E-A533-B3D0F66430A2}">
    <text>+/- 20% variance out of 100% - is OK</text>
  </threadedComment>
  <threadedComment ref="H43" dT="2025-09-05T10:18:18.33" personId="{DDC878C5-42F0-4579-B670-42E3CC72D663}" id="{6088167D-0068-4604-B22F-3A7B7C494147}">
    <text>Overforcasted month by Sales team</text>
  </threadedComment>
  <threadedComment ref="M43" dT="2025-07-08T16:10:53.59" personId="{DDC878C5-42F0-4579-B670-42E3CC72D663}" id="{73115A3D-36E2-4557-972D-D30C99226A07}">
    <text>Завышенный план продаж</text>
  </threadedComment>
  <threadedComment ref="N43" dT="2025-07-08T16:10:42.11" personId="{DDC878C5-42F0-4579-B670-42E3CC72D663}" id="{E7438830-593F-48BC-95AE-97CEDC3E99C3}">
    <text>Завышенный план продаж</text>
  </threadedComment>
  <threadedComment ref="O43" dT="2025-07-08T16:10:42.11" personId="{DDC878C5-42F0-4579-B670-42E3CC72D663}" id="{27898CDC-6973-48B4-BDED-DD0EB3668713}">
    <text>Завышенный план продаж</text>
  </threadedComment>
  <threadedComment ref="P43" dT="2025-09-05T10:18:18.33" personId="{DDC878C5-42F0-4579-B670-42E3CC72D663}" id="{0BDB70FB-EEB3-4B34-84B3-F70339672F98}">
    <text>Overforcasted month by Sales team</text>
  </threadedComment>
  <threadedComment ref="B47" dT="2022-03-05T07:19:59.17" personId="{DDC878C5-42F0-4579-B670-42E3CC72D663}" id="{B6DFBB68-D2E9-4941-B090-B6F5BB5F28FB}">
    <text>with labels and marketing</text>
  </threadedComment>
  <threadedComment ref="B50" dT="2022-12-09T07:29:40.75" personId="{DDC878C5-42F0-4579-B670-42E3CC72D663}" id="{6689B7CE-DF6F-4453-BBBE-F082248D51DD}">
    <text>+/- 20% variance out of 100% - is OK</text>
  </threadedComment>
  <threadedComment ref="I56" dT="2025-02-10T08:07:42.62" personId="{DDC878C5-42F0-4579-B670-42E3CC72D663}" id="{E9A15AE3-C502-4566-991F-AFA3D3EFF97E}">
    <text xml:space="preserve">The most part of Backorders were for Aculife One Day (30pk) and Biofinity (3pk)_Bespoke due to unpredicted oversales. Without these products % would be 4,6%
</text>
  </threadedComment>
  <threadedComment ref="J56" dT="2025-03-07T06:26:20.98" personId="{DDC878C5-42F0-4579-B670-42E3CC72D663}" id="{E8DBA4CA-A2CB-4287-B825-A025BB1BB0ED}">
    <text xml:space="preserve">The most part of Backorders was for Diag MiSight 1 Day (5 pk) due to unpredicted oversales. Without this product % would be 3,9%
</text>
  </threadedComment>
  <threadedComment ref="Q56" dT="2025-10-06T12:35:39.22" personId="{DDC878C5-42F0-4579-B670-42E3CC72D663}" id="{449EC5DB-C39B-4551-82FD-20DC328CC4B5}">
    <text xml:space="preserve">The most part of Backorders are for Proclear 6 pk and Proclear 1 day 30 pk – these products will be discontinued since end of November 2025 so now we faced with unpredictable sales. All backorders will be manufactured and shipped to the clients till the end of November. Without them % would be 5,4%.
Also we had oversales for Clariti 1 Day (90pk). Without all these issues we would have 4.6%
</text>
  </threadedComment>
  <threadedComment ref="B63" dT="2025-12-12T14:34:35.30" personId="{E45F7787-BA74-424C-8A3A-CFF16909A0A1}" id="{D647E2A1-3FD2-41DE-B26C-A58365C4A370}">
    <text>Not ready yet</text>
  </threadedComment>
  <threadedComment ref="H70" dT="2024-12-04T09:05:14.47" personId="{DDC878C5-42F0-4579-B670-42E3CC72D663}" id="{CB62BE19-4206-4F69-8930-33F37B0D52C2}">
    <text>-2 по графику Стоп-отгрузки</text>
  </threadedComment>
</ThreadedComments>
</file>

<file path=xl/threadedComments/threadedComment2.xml><?xml version="1.0" encoding="utf-8"?>
<ThreadedComments xmlns="http://schemas.microsoft.com/office/spreadsheetml/2018/threadedcomments" xmlns:x="http://schemas.openxmlformats.org/spreadsheetml/2006/main">
  <threadedComment ref="BS1" dT="2022-09-08T15:14:16.00" personId="{DDC878C5-42F0-4579-B670-42E3CC72D663}" id="{658190DD-2F8E-4F16-8013-71C4B2C25920}">
    <text>В общем ситуация по стокам ухудшилась по сравнению с предыдущей неделей.  Почему?
1)	За август у нас была лишь одна поставка в связи с тем, что мы ждали добавления нового продукта Misight 90 pk + были технические проблемы с документами при подготовке машины, что удлинило срок согласования отправки
2)	Так же на прошлой неделе произвели большое списание продуктов со сроком годности менее 6 месяцев (12 месяцев для продуктов iwear). 
Ждем выправления ситуации со следующими поставками.
В основном это сложные линзы.
На ухудшение показателя по сфере ЧМ и ХБ повлияло уменьшение стока по продукту WB Somofilcon A 56% 1 day (30pk) – это только неходовые плюсовые позиции, большинство из них приезжают на склад 12.09.
По сложным линзам ЧМ и ХБ повлияло уменьшение стока по WB Fanfilcon A toric (6pk), что было связано с отсутствием стока на производстве в самом ЮК. Сейчас проблема решена, ждем, когда к нам приедут эти позиции. 
По сфере бренд повлияло уменьшение стока Biomedics 55 Evolution (6pk), по ним информация ниже. Здесь же выпали плюсовые позиции Clariti elite (6pk) (приезжают 12.09 на склад)
По сложным линзам бренд повлияло уменьшение стока по Avaira Vitality toric (6pk) – та же проблема с отсутствием стока на производстве. Ждем сток в текущих и последующих поставках.
По сфере 52 выпавших диоптрии, из них 85% – плюсовые и неходовые минусовые.
•	Из ходовых диоптрий Biomedics 55 Evolution (6pk) 5 артикулов  – три из них едут в транзите, на склад машина поступит примерно 12 сентября, далее попытаемся поставить в приоритет на приемку. 2 оставшиеся изготавливаются на производстве, отгрузим в следующей поставке.
Biofinity (3pk)_Bespoke (-0450) – в том же транзите
Biofinity (6pk)_Bespoke (-0325) и Airway Ophtalmix Profi (6pk) (-0475) – позиции изготавливаются, отгрузим в следующей поставке.</text>
  </threadedComment>
  <threadedComment ref="BT1" dT="2022-09-15T06:23:34.89" personId="{E45F7787-BA74-424C-8A3A-CFF16909A0A1}" id="{931D8AE3-AA11-4C4B-A155-1814D84B002B}">
    <text>В общем ситуация по стокам ухудшилась по сравнению с предыдущей неделей.  Почему?
1)	За август у нас была лишь одна поставка в связи с тем, что мы ждали добавления нового продукта Misight 90 pk + были технические проблемы с документами при подготовке машины, что удлинило срок согласования отправки
2)	Так же произвели большое списание продуктов со сроком годности менее 6 месяцев (12 месяцев для продуктов iwear). 
3)	Проблема с Офтальмикс Профи 6 пк – не учтен первоначальный постановочный сток при размещении первоначального заказа, затем Лоджилити не справился с корректным размещением заказа по продукту.
В основном это сложные линзы.
На ухудшение показателя по сфере ЧМ и ХБ повлияло уменьшение стока по продукту WB Somofilcon A 56% 1 day (30pk) 
По сложным линзам ЧМ и ХБ повлияло уменьшение стока по WB Fanfilcon A toric (6pk), что было связано с отсутствием стока на производстве в самом ЮК. Сейчас проблема решена, ждем, когда к нам приедут эти позиции. 
По сфере бренд повлияло уменьшение стока Biomedics 55 Evolution (6pk), по ним информация ниже. Здесь же выпали плюсовые позиции Clariti elite (6pk) (по ним идет приемка).
По сложным линзам бренд повлияло уменьшение стока по Avaira Vitality toric (6pk) – та же проблема с отсутствием стока на производстве. Ждем сток в текущих и последующих поставках.
По сфере 61 выпавших диоптрии, из них 79% – плюсовые и неходовые минусовые.
•	Из ходовых диоптрий Biomedics 55 Evolution (6pk) 5 артикулов  – три из них на приемке, 1 поедет в след машине, оставшуюся позицию положим в след транзит, который только будет готовиться. 
Biofinity (3pk)_Bespoke (-0450) – на приемке
Biofinity (6pk)_Bespoke (-0325) – положим в след транзит, который только будет готовиться. 
Airway Ophtalmix Profi (6pk)  – 6 позиций, будем ускорять производство позиций и срочно везти.</text>
  </threadedComment>
  <threadedComment ref="BU1" dT="2022-09-22T18:50:39.44" personId="{E45F7787-BA74-424C-8A3A-CFF16909A0A1}" id="{DAF7A7DC-FAA7-432D-889D-F696FA419F38}">
    <text>Из ходовых диоптрий Biomedics 55 Evolution (6pk) 5 артикулов  – три из них на приемке, 1 поедет в след машине, оставшуюся позицию (LBMDEUA686-0325 нужно положить в готовящуюся машину - @Anna Bodrenkova, проследи, пожалуйста, чтобы положили)
Biofinity (6pk)_Bespoke (-0325) – должны положить в готовящийся транзит (@Anna Bodrenkova, проследи, плиз)
Airway Ophtalmix Profi (6pk)  – 8 позиций, нужно проверить, что бОльшую часть положили в готовящийся транзит (@Anna Bodrenkova)</text>
  </threadedComment>
  <threadedComment ref="BV1" dT="2022-10-06T14:06:10.27" personId="{E45F7787-BA74-424C-8A3A-CFF16909A0A1}" id="{23349AD2-3424-4CFA-8D28-02BE884D56A0}">
    <text>Большая часть – это позиции Airway Ophtalmix Profi (6pk), по ним дала информацию выше.
              Biofinity (6pk)_Bespoke (-0325) – приедет примерно 10 октября в машине 43 . Нужно поставить в приоритет (@Anna Bodrenkova)
              MiSight 1 day (90pk) (-0225, -0350) – машина поступила на склад 4 октября, позиции уже поставлены в приоритет.
Biomedics 55 Evolution (6pk) (-0325) – приедет примерно 10 октября в машине 43 . Нужно поставить в приоритет (@Anna Bodrenkova)
Airway Ophtalmix 1 Day (30pk) (-0450) – позиция на производстве, должны положить в следующую машину (@Anna Bodrenkova)</text>
  </threadedComment>
  <threadedComment ref="CH1" dT="2022-12-29T10:41:47.09" personId="{DDC878C5-42F0-4579-B670-42E3CC72D663}" id="{D48ECB1D-6B8C-41CC-97C9-D013CEC85DE2}">
    <text>По сложным линзам ЧМ и ХБ ухудшилась ситуация по стокам по продукту WB Fanfilcon A toric (6pk) – по продукту проблема на производстве + большой всплеск продаж в конце декабря (затарка клиентов).
По сфере Бренд ухудшилась ситуация по стокам по продукту Biomedics 55 Evolution (6pk) – информация по нему ниже.
По сложным линзам Бренд ухудшилась ситуация по продукту Avaira Vitality toric (6pk) –  по продукту проблема на производстве + большой всплеск продаж в конце декабря (затарка клиентов).
По сфере всего 42 выпавших диоптрий, из них 88% – плюсовые и неходовые минусовые.
Из ходовых позиций всего 5 артикулов. 
MiSight 1 day (90pk) (-0125) – позиция едет в машине 46, машина сломалась по пути, должна прийти либо на праздниках, либо после НГ – затем уже поставили в приоритет на приемку.
MyDay (90pk) (-0225) - позиция едет в машине 46.
iWear delicate (3pk) (-0475) –позиция едет в транзите 46.
Biomedics 55 Evolution (6pk) (-0250, -0300) – вторая позиция едет в машине 46. Первая позиция на производстве – вывезем уже после НГ.</text>
  </threadedComment>
  <threadedComment ref="CI1" dT="2023-01-13T06:15:15.59" personId="{DDC878C5-42F0-4579-B670-42E3CC72D663}" id="{1E42DC84-6C22-4E3A-9154-FD465F0A32BD}">
    <text>Огромные плюсы хочу отметить:
-	Машина 46 приехала на праздниках и сразу же пошла приемка – мы очень подтянули стоки благодаря ей. На будущее на все НГ праздники так же нужно производить приемку, тогда начало года не будет для нас плачевным в плане стоков
-	Машину 1 уже сформировали и согласовали до НГ – так же хорошая практика, так как на согласование уходит много времени, а в начале года у нас не так много времени в январе.
Благодаря этому у нас плюсы (хорошие такие) по всем категориям в первом отчете года – спасибо @Anna Bodrenkova и @Maxim Aleksandrov!!!
По сфере всего 25 выпавших диоптрий, из них 84% – плюсовые и неходовые минусовые.
Из ходовых позиций всего 4 артикула. 
iWear delicate (3pk) (-0475) –позиция на приемке, закроют машину до 20.01. По возможности поставить в приоритет @Anna Bodrenkova
Biomedics 55 Evolution (6pk) (-0250, -0300, -0325) – первая позиция выезжает из ЮК 12.01, на складе примерно 23-24 января, далее необходимо поставить будет в приоритет на приемку @Anna Bodrenkova
Вторая и третья позиции на приемке – до 20.01 будут приняты. По возможности поставить в приоритет @Anna Bodrenkova</text>
  </threadedComment>
  <threadedComment ref="CJ1" dT="2023-01-19T09:29:13.68" personId="{E45F7787-BA74-424C-8A3A-CFF16909A0A1}" id="{7C76C32B-F92D-4755-A5D0-6B17575C88D8}">
    <text>По сфере ЧМ и ХБ ухудшилась ситуация по стокам по продукту iWear delicate – детали  ниже
По сфере Бренд ухудшилась ситуация по стокам по продукту Avaira Vitality (6pk) – так же проблемы на производстве.
По сфере всего 31 выпавших диоптрий, из них 74% – плюсовые и неходовые минусовые.
Из ходовых позиций всего 8 артикулов. 
iWear delicate (3pk) (-5 позиций) –едут в машине , на складе примерно 23024 января – поставить в приоритет на приемку @Anna Bodrenkova
Biomedics 55 Evolution (6pk) (-0250, -0350) – первая позиция выезжает из ЮК 12.01, на складе примерно 23-24 января, далее поставили уже в приоритет. Вторая позиция так же едет в машине 1 – нужно поставить в приоритет на приемку @Anna Bodrenkova
iWear fresh (30pk) (-0250) – на приемке из машины 46 – должна закрыться завтра 20.01</text>
  </threadedComment>
  <threadedComment ref="CK1" dT="2023-01-26T16:16:22.23" personId="{E45F7787-BA74-424C-8A3A-CFF16909A0A1}" id="{907455F7-4884-4341-ABF3-AD8FCA940674}">
    <text>По сфере Бренд ухудшилась ситуация по стокам по продуктам Avaira Vitality (6pk) – так же проблемы на производстве.
Я немного изменила логику анализа информации, до этого мы называли ходовыми позиции от -1 до -5,5, сейчас я предлагаю исходить из категоризации АВС анализа (по штукам) и рассматривать категорию А как ходовой продукт. Пересчет АВС был проведен 24.01.2023, то есть данные свежие на основе годовых продаж 2022.</text>
  </threadedComment>
  <threadedComment ref="CL1" dT="2023-01-26T16:16:22.23" personId="{E45F7787-BA74-424C-8A3A-CFF16909A0A1}" id="{58D3966E-0C12-4123-83E9-312EC31394FE}">
    <text>По сфере Бренд ухудшилась ситуация по стокам по продуктам Avaira Vitality (6pk) – так же проблемы на производстве.
Я немного изменила логику анализа информации, до этого мы называли ходовыми позиции от -1 до -5,5, сейчас я предлагаю исходить из категоризации АВС анализа (по штукам) и рассматривать категорию А как ходовой продукт. Пересчет АВС был проведен 24.01.2023, то есть данные свежие на основе годовых продаж 2022.</text>
  </threadedComment>
  <threadedComment ref="CM1" dT="2023-02-09T15:15:36.13" personId="{DDC878C5-42F0-4579-B670-42E3CC72D663}" id="{1174D24C-A194-4C30-9A4C-DCE6C26ED9DC}">
    <text>По сфере ЧМ и ХБ незначительно ухудшилась ситуация по стокам по продукту WB Fanfilcon A (6pk) – три непопулярные плюсовые позиции, которые будут приняты из машины 2 до 07.03 включительно.
По сфере сложным линзам ЧМ и ХБ незначительно ухудшилась ситуация по стокам по продукту WB Fanfilcon A toric (6pk) – для сложного продукта, у которого есть так же проблемы на производстве, это не критично.
По сложным линзам бренд незначительно ухудшилась ситуация по стокам по продукту Avaira Vitality toric (6pk) – так же не проблема.
По сфере всего 21 выпавших диоптрий, из них 90% – неходовые продукты из категорий B и С.
Из категории А (по штукам) всего 2 артикула. 
Avaira Vitality (6pk) – одна позиция (-0050) – находится на приемке из машины 2 – уже ставили в приоритет.
iWear Activ (30pk) – одна позиция (-0050) – находится на приемке из машины 2 – уже ставили в приоритет.</text>
  </threadedComment>
  <threadedComment ref="CN1" dT="2023-02-27T07:12:33.20" personId="{DDC878C5-42F0-4579-B670-42E3CC72D663}" id="{915E190A-DCDD-466A-81CC-21D27222CE9B}">
    <text>По сфере бренд незначительно ухудшилась ситуация по стокам по продуктам:
MiSight 1 day (90pk) – 5 артикулов, 2 из них находятся на приемке из 2 машины и будут приняты до конца февраля, остальные едут в транзите в машине 3. По приезду поставим в приоритет @Anna Bodrenkova
Biomedics 55 Evolution (6pk) – информация ниже.
По сфере всего 22 выпавших диоптрий, из них 86% – неходовые продукты из категорий B и С.
Из категории А (по штукам) всего 3 артикула. 
2 позиции Biomedics 55 Evolution (6pk) (-0550 и +0500) – первая позиция находится в транзите в машине 3, как только приедет числа 17-20 февраля на склад, затем ставим в приоритет на приемку @Anna Bodrenkova
Вторая позиция еще на производстве, в следующей поставке нужно постараться ее вывезти.
iWear Activ (30pk) – одна позиция (-0050) – находится в транзите в машине 3, как только приедет числа 17-20 февраля на склад, затем ставим в приоритет на приемку @Anna Bodrenkova</text>
  </threadedComment>
  <threadedComment ref="CO1" dT="2023-02-27T07:12:18.54" personId="{DDC878C5-42F0-4579-B670-42E3CC72D663}" id="{1F7E8FE0-88C4-4B0B-95E5-D427D7B08AE5}">
    <text>По сфере ЧМ и ХБ незначительно ухудшилась ситуация по стокам по продуктам WB Somofilcon A (6pk) (4 артикула) и WB Somofilcon A 56% 1 day (30pk) (1 артикул) – неходовые плюсовые позиции, которые поступят на сток в машине 3 и 4 в конце февраля – начале марта. Ситуация не критичная.
По сложным линзам ЧМ и ХБ незначительно ухудшилась ситуация по продукту WB Comfilcon A toric BF (3pk)  - ситуация не критичная.
По сфере бренд ухудшилась ситуация по стокам по продуктам:
MiSight 1 day (90pk) – 6 артикулов, 3 из них находятся на приемке из 2 машины и будут приняты до конца февраля, остальные едут в транзите в машине 3. По приезду поставим в приоритет.
Clariti elite (6pk) – 2 неходовых плюсовых артикула, которые едут в машинах 3 и 4 и будут на складе в конце февраля – начале марта. Ситуация не критичная.
По сложным линзам бренд ухудшилась ситуация по стокам по продукту Clariti 1 Day multifocal (30pk) – ситуация не критичная.
По сфере всего 26 выпавших диоптрий, из них 88% – неходовые продукты из категорий B и С.
Из категории А (по штукам) всего 3 артикула. 
2 позиции Biomedics 55 Evolution (6pk) (-0550 и +0500) – первая позиция находится в транзите в машине 3, как только приедет числа 17-20 февраля на склад, затем поставим в приоритет на приемку.
Вторая позиция еще производстве, в поставке в машине 5 в начале марта вывезем ее.
iWear Activ (30pk) – одна позиция (-0050) – находится в транзите в машине 3, как только приедет числа 17-20 февраля на склад, затем поставим в приоритет на приемку.</text>
  </threadedComment>
  <threadedComment ref="CP1" dT="2023-03-02T11:25:50.65" personId="{DDC878C5-42F0-4579-B670-42E3CC72D663}" id="{677115BE-A31F-4226-861C-E54110B3AD8C}">
    <text>По сложным линзам бренд незначительно ухудшилась ситуация по стокам по продукту Clariti 1 Day multifocal (30pk) – ситуация не критичная.
По сфере всего 21 выпавших диоптрий, из них 86% – неходовые продукты из категорий B и С.
Из категории А (по штукам) всего 3 артикула. 
2 позиции Biomedics 55 Evolution (6pk) (-0600 и +0500) – первая позиция приехала в машине 3 - в приоритет на приемку. @Anna Bodrenkova
Вторая позиция еще производстве, в поставке в машине 5 в начале марта вывезем ее.
iWear Activ (30pk) (как проговорили с тобой) – товара в машине 3 хватает под потребность. Утром приняли товар, БО закрыты и есть страховой запас.
Biomedics -6.00 добавляю в приоритет.</text>
  </threadedComment>
  <threadedComment ref="CQ1" dT="2023-03-09T08:05:30.11" personId="{E45F7787-BA74-424C-8A3A-CFF16909A0A1}" id="{E8D7154E-D696-4D80-A7A5-1906F41897E9}">
    <text>По сложным линзам ЧМ и ХБ незначительно ухудшилась ситуация по стокам по продукту iWear activ astigmatism (30 pk) – ситуация не критичная.
По сфере всего 16 выпавших диоптрий, из них 94% – неходовые продукты из категорий B и С.
Из категории А (по штукам) всего 1 артикул (тот же, который был и на прошлой неделе).
Это Biomedics 55 Evolution (6pk) (+0500) – позиция еще в ДП, в поставке в машине 5 в середине марта вывезем ее.</text>
  </threadedComment>
  <threadedComment ref="CR1" dT="2023-03-16T08:12:13.24" personId="{E45F7787-BA74-424C-8A3A-CFF16909A0A1}" id="{2905E309-0C1F-42CC-836F-F9A154FB756D}">
    <text>По сфере ЧМ и ХБ незначительно ухудшилась ситуация по стокам по продукту WB Somofilcon A (6pk) (3 плюсовые позиции категории С) – ситуация не критичная.
По сфере Бренд ухудшилась ситуация по стокам по продуктам MiSight 1 day (90pk) (1 позиция категории В -0550) – приехала в машине 4 11 марта – @Anna Bodrenkova, проверь, плиз, стоит ли в приоритете на приемку.
3 позиции Proclear  (6pk) (-0050, +0450, +0850) – все они приехали так же в машине 4 – нужно поставить в приоритет на приемку @Anna Bodrenkova
По сфере всего 25 выпавших диоптрий, из них 92% – неходовые продукты из категорий B и С.
Из категории А (по штукам) всего 2 артикула (тот же, который был и на прошлой неделе).
Это Biomedics 55 Evolution (6pk) (+0500) – позиция еще в ДП, в машине 5 не получилось вывезти, необходимо отправить в поставке в машине 6 в конце марта. @Anna Bodrenkova
И Clariti 1 Day (30pk)_Bespoke  (-0500) – позиция поедет в машине 5 с приходом на БОМИ примерно на последней неделе марта – затем поставим в приоритет на приемку @Anna Bodrenkova</text>
  </threadedComment>
  <threadedComment ref="CS1" dT="2023-03-23T08:17:48.42" personId="{E45F7787-BA74-424C-8A3A-CFF16909A0A1}" id="{AE14998C-D0E4-463B-991F-A42A92F4F486}">
    <text>По сфере ЧМ и ХБ ухудшилась ситуация по стокам по продуктам iWear Activ (30pk) – 2 плюсовые неходовые позиции, одна из которых уже едет в транзите в машине 5, а вторая будет выезжать с машиной 6.
WB Fanfilcon A (6pk) – 2 плюсовые неходовые позиции, которые уже приехали в машине 4 – идет приемка до 14.04.
WB Somofilcon A (6pk) – 4 плюсовые неходовые позиции, часть из которых уже приехали в машине 4, а часть едут в машине 5.
Проблем в целом не вижу, приоритеты ставить не нужно.
По сложным линзам Бренд незначительно ухудшилась ситуация по стокам по продукту Clariti 1 Day toric (30pk) – в целом так же не вижу проблем – они все либо уже приехали в машине 4 и идет приемка, либо подъезжают в машине 5 на последней неделе марта. Приоритеты не нужны.
По сфере всего 25 выпавших диоптрий, из них 88% – неходовые продукты из категорий B и С.
Из категории А (по штукам) всего 3 артикула.
Это Biomedics 55 Evolution (6pk) (+0500) – позиция еще в ДП, проблемы с silver стоком на производстве. 2-3 недели на исправление ситуации – по мнению ДП.
Clariti 1 Day (30pk)_Bespoke  (-0500) – позиция поедет в машине 5 с приходом на БОМИ примерно на последней неделе марта – затем поставим в приоритет на приемку.
И Airway Ophtalmix Profi (6pk) (-0225) – позиция уже приехала в машине 4 – необходимо поставить в приоритет на приемку @Anna Bodrenkova</text>
  </threadedComment>
  <threadedComment ref="CT1" dT="2023-04-03T06:03:28.46" personId="{DDC878C5-42F0-4579-B670-42E3CC72D663}" id="{71495F36-AA8F-4ED4-860A-0513AD40F492}">
    <text>По сложным линзам ЧМ и ХБ незначительно ухудшилась ситуация по продукту WB Fanfilcon A toric (6pk) – некритично.
По сфере Бренд ухудшилась ситуация по стокам по продуктам 
Avaira Vitality (6pk) – только плюсовые неходовые позиции категории В и С – все они находятся на приемке из 4 машины, будут приняты до 14.04
Clariti elite (6pk) – так же – только плюсовые неходовые позиции категории В и С – все они находятся на приемке из 4 машины, будут приняты до 14.04
Proclear  (6pk) – так же практически все находятся в 4 машине, идет приемка до 14.04. Одна приоритетная позиция – ее в приоритет (как указала ниже инфо).
В целом ничего критичного.
По сложным линзам Бренд незначительно ухудшилась ситуация по стокам по продукту Biofinity Toric (3 pk) (new) – в целом так же не вижу проблем.
По сфере всего 34 выпавших диоптрий, из них 91% – неходовые продукты из категорий B и С.
Из категории А (по штукам) всего 3 артикула.
Это Biomedics 55 Evolution (6pk) (+0500) – позиция еще в ДП, проблемы с silver стоком на производстве. 2-3 недели на исправление ситуации – по мнению ДП.
Clariti 1 Day (30pk)_Bespoke  (-0500) – позиция приезжает в машине 5 31.03, уже в приоритете на приемку – ожидаем в ближайшее время.
И Proclear  (6pk) (-0275) – позиция в машине 4 – необходимо поставить в приоритет на приемку, если мы этого не делали – проверь, плиз, @Anna Bodrenkova</text>
  </threadedComment>
  <threadedComment ref="CU1" dT="2023-04-06T08:56:13.54" personId="{E45F7787-BA74-424C-8A3A-CFF16909A0A1}" id="{4EDF22C4-8C94-48D3-A178-9813F313668A}">
    <text>По сфере ЧМ и ХБ незначительно ухудшилась ситуация по продукту WB Fanfilcon A (6pk) – 4 плюсовые позиции категории В и С, все находятся на приемке в машине 4 – ситуация не критичная, приоритеты не нужны.
По сложным линзам ЧМ и ХБ незначительно ухудшилась ситуация по продукту WB Fanfilcon A toric (6pk) – некритично.
По сфере Бренд ухудшилась ситуация по стокам по продуктам 
MiSight 1 day (90pk) – 3 позиции категории В, часть находится в машине 4, часть в машине 5  -по возможности поставить в приоритет на приемку @Anna Bodrenkova, так как по деньгам эти позиции уже попадают в категорию А.
Avaira Vitality (6pk) – по минусовым позициям комментарии ниже, по остальным плюсовым неходовым позициям категории В и С – все они находятся на приемке из 4 машины, будут приняты до 14.04 – не критично.
Proclear  (6pk) – по минусовым позициям комментарии ниже, по остальным плюсовым неходовым позициям категории В и С – большинство находятся на приемке из 4 машины, будут приняты до 14.04, остальное из машины 5 – приемка так же уже идет.
По сложным линзам Бренд незначительно ухудшилась ситуация по стокам по продукту Avaira Vitality toric (6pk)– в целом не вижу проблем.</text>
  </threadedComment>
  <threadedComment ref="CV1" dT="2023-04-13T09:14:56.82" personId="{DDC878C5-42F0-4579-B670-42E3CC72D663}" id="{E4F0FB46-AED3-4462-B455-7BB10003D446}">
    <text>Все прекрасно подтянули – это замечательно, все молодцы!
По сфере всего 27 выпавших диоптрий, из них 93% – неходовые продукты из категорий B и С.
Из категории А (по штукам) всего 2 артикула.
Это Biomedics 55 Evolution (6pk) (+0500) – позиция еще в ДП, проблемы с silver стоком на производстве Пока улучшений нет.
Airway Ophtalmix 1 Day (30pk) – 1 позиция (-0075) – на приемке в машине 5 – уже поставили в приоритет на приемку</text>
  </threadedComment>
  <threadedComment ref="DA1" dT="2023-05-18T09:38:39.65" personId="{E45F7787-BA74-424C-8A3A-CFF16909A0A1}" id="{6788114A-B8F2-488E-96E7-DA94EB4B65F9}">
    <text>По сфере ЧМ и ХБ ухудшилась ситуация по продукту Airway Ophtalmix 1 Day (30pk) -   7 позиций, комментарии ниже.
По сложным линзам ЧМ и ХБ незначительно ухудшилась ситуация по продуктам WB Comfilcon A multifocal BF (3 pk) и WB Fanfilcon A toric (6pk). Не критично.
По сложным линзам Бренд  незначительно ухудшилась ситуация по продуктам Avaira Vitality (6pk) и Proclear  (6pk). По Виталити это 4 неходовые позиции категорий В и С – бОльшая часть из них есть на приемке из 7 машины и в транзите из 8 машины. По Проклиар это 5 позиций, одна из категории А – по ней комментарии ниже, остальные позиции категорий В и С есть на приемке из машины 6, то есть 19 мая будут уже закрыты.
По сфере всего 43 выпавших диоптрий, из них 58% – неходовые продукты из категорий B и С.
Из категории А (по штукам) всего 18 артикулов.
Это все тот же Biomedics 55 Evolution (6pk) (+0500 и -1000) – позиции еще в ДП, проблемы с silver стоком на производстве. Пока улучшений нет.
Airway Premium 1 Day (30 pk) (-0700) – позиция еще в Дельта Парке, должна была попасть в отгрузку в 9 машину (@Anna Bodrenkova, проверь, плиз). Не критично, так как клиент затарился ранее.
Airway Premium 1 Day (30 pk) (-0750) – позиция еще в Дельта Парке, вывозить будем со следующей машиной 9, идет согласование машины. Не критично, так как клиент затарился ранее.
Airway Ophtalmix Profi (6pk) (-0350) – позиция едет в транзите в машине 8. Отгрузка из ДП произошла 05.05 с приходом на склад 25 мая. По приезду поставим в приоритет.
Из нового:
Airway Ophtalmix 1 Day (30pk) 7 позиций – 5 из них едут в 8 траке, приход на склад 25 мая – поставим в приоритет на приемку @Anna Bodrenkova, 2 позиции еще в ДП на производстве, отгрузка из ДП примерно конец мая-начало июня с приходом на склад в середине июня.
Proclear  (6pk) (-2000) – позиция на приемке из 6 трака, по плану приемка должна быть закрыта 19.05
iWear Activ (30pk) (-0575 и -0750) – первая позиция на приемке из 7 трака, приемка по плану сферы до 26.05 включительно, вторая позиция должна была попасть в отгрузку в 9 машину (@Anna Bodrenkova, проверь, плиз).
Aculife One Day (30pk) (-0350) - позиция на приемке из 6 трака, по плану приемка должна быть закрыта 19.05
iWear oxygen (3pk) (-0575, -0800) – первая позиция должна была попасть в отгрузку в 9 машину (@Anna Bodrenkova, проверь, плиз). Вторая позиция попала в БО из-за заказа Линзмастера 17.05, заказ на позицию в ДП будет размещен в ближайшее время.</text>
  </threadedComment>
  <threadedComment ref="DJ1" dT="2023-08-10T07:34:32.98" personId="{DDC878C5-42F0-4579-B670-42E3CC72D663}" id="{08C67679-F10D-440F-AD6D-636C7079D850}">
    <text xml:space="preserve">Ухудшение ситуации по Сфере Бренд произошло в связи с уменьшением стока по продукту Proclear  (6pk) – всего 22 позиции, находились в красной зоне и только сейчас получили лицензию на вывоз из ДП. Практически все поедут в машине 12 – приход на склад 1-2 августа и затем сразу в приоритет на приемку.
По сфере всего 98 выпавших диоптрий, из них 69% – неходовые продукты из категорий B и С.
Из категории А (по штукам) всего 30 артикулов.
Из “красных” продуктов 22 позиций всего, лицензию получили, бОльшая часть (14 позиций) выезжает в машине 12 с приходом на склад 2-3 августа, далее приоритет на приемку. Остальные будем отгружать в следующих поставках.
</text>
  </threadedComment>
  <threadedComment ref="DK1" dT="2023-08-10T07:34:06.23" personId="{DDC878C5-42F0-4579-B670-42E3CC72D663}" id="{F9042F62-D183-4EB2-A4D0-F9E28D113C45}">
    <text xml:space="preserve">Ухудшение ситуации по Сфере ЧМ и ХБ произошло в связи с уменьшением стока по продуктам WB Fanfilcon A (6pk)  - 26 позиций  - практически все едут в машине 12 – приход на склад 1-2 августа, затем поставим в приоритет
И WB Somofilcon A (6pk) – 10 позиций – так же все едут в машине 12, по приходу поставим в приоритет.
По сфере всего 101 выпавших диоптрий, из них 68% – неходовые продукты из категорий B и С.
Из категории А (по штукам) всего 32 артикула.
2 позиции приехали в машине 11 25 июля – необходимо проверить, что они в приоритете на приемку @Anna Bodrenkova
</text>
    <extLst>
      <x:ext xmlns:xltc2="http://schemas.microsoft.com/office/spreadsheetml/2020/threadedcomments2" uri="{F7C98A9C-CBB3-438F-8F68-D28B6AF4A901}">
        <xltc2:checksum>406269460</xltc2:checksum>
        <xltc2:hyperlink startIndex="551" length="16" url="mailto:abodrenkova@coopervision.com"/>
      </x:ext>
    </extLst>
  </threadedComment>
  <threadedComment ref="DL1" dT="2023-08-10T07:33:46.11" personId="{DDC878C5-42F0-4579-B670-42E3CC72D663}" id="{BEC63565-C373-4E0E-A56B-4A3985446C93}">
    <text xml:space="preserve">Ухудшение ситуации по Сфере ЧМ и ХБ произошло в связи с уменьшением стока по продукту WB Fanfilcon A (6pk)  - 60 позиций (8 из которых категории А, остальное это плюсовые непопулярные позиции)  - практически все едут в машине 12 – приход на склад 4-5 августа, затем поставим в приоритет номер 1!!! @Anna Bodrenkova
И WB Somofilcon A (6pk) – 16 позиций – так же все едут в машине 12, по приходу поставим в приоритет.
Ухудшение ситуации по сложным линзам Бренд произошло в связи с уменьшением стока по продуктам Clariti 1 Day multifocal (30pk) и Avaira Vitality toric (6pk)
По сфере всего 125 выпавших диоптрий, из них 70% – неходовые продукты из категорий B и С.
Из категории А (по штукам) всего 38 артикулов.
3 позиции приехали в машине 11 – необходимо проверить, что они в приоритете на приемку @Anna Bodrenkova
</text>
  </threadedComment>
  <threadedComment ref="EH1" dT="2024-01-11T08:24:29.59" personId="{DDC878C5-42F0-4579-B670-42E3CC72D663}" id="{6C918EF9-C49F-4436-B759-C3F57FD07A98}">
    <text xml:space="preserve">Приемка поработала хорошо на праздниках – по всем группам товаров улучшение!
По сфере всего 103 выпавших диоптрий (95 – Revenue и 8 FOC), из них 15,4% – ходовые продукты из категории А.
Категория А  (по штукам) включает в себя 14 артикулов (10 Revenue  и 4 FOC).
4 позиции на приемке в машине 21– машина пришла на склад 13 ноября – уже в приоритете на приемку.
9 позиций приехали в машине 22 13 декабря на БОМИ – уже в приоритете на приемку.
Оставшаяся 1 позиция Airway Ophtalmix Profi (6pk) (-0275) поедет уже в первых машинах  в ближайшее время – ожидаем отгрузку из ДП на следующей неделе и приход на склад БОМИ в конце января, далее время на приемку..
</text>
  </threadedComment>
  <threadedComment ref="EJ1" dT="2024-01-25T07:56:44.39" personId="{DDC878C5-42F0-4579-B670-42E3CC72D663}" id="{3AFC7327-D1D4-4D8B-BAB3-36FB577786FC}">
    <text xml:space="preserve">Ухудшение ситуации по Сфере ЧМ и ХБ  произошло в связи с уменьшением стока по продукту WB Fanfilcon A (6pk) – все позиции находятся на приемке из машины 1, которая прибыла на БОМИ 23 января – идет приемка.
Ухудшение ситуации по сложным линзам Бренд  произошло в связи с уменьшением стока по продуктам Biofinity multifocal (3 pk)
По сфере всего 116 выпавших диоптрий (109 – Revenue и 17 FOC), из них 19,82% – ходовые продукты из категории А.
Категория А  (по штукам) включает в себя 23 артикулов (20 Revenue  и 3 FOC). Здесь не учитываю диагностику по май дэй, так как пока не продаем и не поставляем.
1 позиция Airway Premium (3pk) (-0300) – 532 упаковки приехали в машине 23 – проверить, есть ли в  приоритете на приемку 
6 позиций приехали 23 января на БОМИ в машине 1 – поставить в приоритет 
Оставшиеся 2 позиции выехали из Дельта Парка в машине 2 22 января – на БОМи поступит примерно 1-2 февраля и затем сразу в приоритет
</text>
  </threadedComment>
  <threadedComment ref="EL1" dT="2024-02-08T13:45:39.08" personId="{DDC878C5-42F0-4579-B670-42E3CC72D663}" id="{338ACF24-14FE-4C21-A7BC-2AD1306433DC}">
    <text xml:space="preserve">Ухудшение ситуации по Сфере ЧМ и ХБ   произошла в связи с уменьшением стока по продукту WB Fanfilcon A (6pk) – все позиции находятся на приемке из 1 машины – по возможности приоритезируем @Anna Bodrenkova
Ухудшение ситуации по сложным линзам ЧМ и ХБ  произошла в связи с уменьшением стока по продукту WB Comfilcon A multifocal BF (3 pk)
Ухудшение ситуации по Сфере Диагностика  произошла в связи с уменьшением стока по продукту Diag Clariti elite (3pk) – 6 плюсовых позиций категории В и С – все едут в транзите в 3 машине – на БОМИ 13-15 февраля, затем приемка
Ухудшение ситуации по сложным линзам Диагностика  произошла в связи с уменьшением стока по продукту Diag Biofinity Multifocal (1pk) – практические все позиции находятся на приемке из машины 23.
По сфере всего 106 выпавших диоптрий (100 – Revenue и 6 FOC), из них 17,92% – ходовые продукты из категории А.
Категория А  (по штукам) включает в себя 19 артикулов (19 Revenue  и 0 FOC). 
</text>
    <extLst>
      <x:ext xmlns:xltc2="http://schemas.microsoft.com/office/spreadsheetml/2020/threadedcomments2" uri="{F7C98A9C-CBB3-438F-8F68-D28B6AF4A901}">
        <xltc2:checksum>253969391</xltc2:checksum>
        <xltc2:hyperlink startIndex="188" length="16" url="mailto:abodrenkova@coopervision.com"/>
      </x:ext>
    </extLst>
  </threadedComment>
  <threadedComment ref="EN1" dT="2024-02-22T08:57:24.79" personId="{DDC878C5-42F0-4579-B670-42E3CC72D663}" id="{A20DB10F-015A-4A2B-BF14-95007A09B2CB}">
    <text xml:space="preserve">Ухудшение ситуации по Сфере Диагностика  произошла в связи с уменьшением стока по продукту Diag Clariti 1day (5pk)– 6 минусовых позиций категории А – все находятся на приемке из машины 1 (только одна позиция из машины 3) – ускоряем по возможности @Anna Bodrenkova
По сфере всего 55 выпавших диоптрий (44 – Revenue и 11 FOC), из них 16,25% – ходовые продукты из категории А.
Категория А  (по штукам) включает в себя 11 артикулов (5 Revenue  и 6 FOC). 
1 позиция WB Comfilcon (3pk) (+0200) на приемке из машины 2 - ускоряем по возможности @Anna Bodrenkova
Оставшиеся 5 позиций на приемке из машины 3 – машина приехала на склад 16 февраля - ставим в приоритет @Anna Bodrenkova
</text>
    <extLst>
      <x:ext xmlns:xltc2="http://schemas.microsoft.com/office/spreadsheetml/2020/threadedcomments2" uri="{F7C98A9C-CBB3-438F-8F68-D28B6AF4A901}">
        <xltc2:checksum>2679163472</xltc2:checksum>
        <xltc2:hyperlink startIndex="247" length="16" url="mailto:abodrenkova@coopervision.com"/>
        <xltc2:hyperlink startIndex="539" length="16" url="mailto:abodrenkova@coopervision.com"/>
        <xltc2:hyperlink startIndex="660" length="16" url="mailto:abodrenkova@coopervision.com"/>
      </x:ext>
    </extLst>
  </threadedComment>
  <threadedComment ref="EY1" dT="2024-05-08T11:08:32.49" personId="{DDC878C5-42F0-4579-B670-42E3CC72D663}" id="{1A2EB277-FA04-4FD9-8712-863559B357A2}">
    <text xml:space="preserve">Незначительное ухудшение ситуации по сложным линзам ЧМ и ХБ  произошло в связи с уменьшением стока по продукту WB Stenfilcon A toric 54% 1 Day MD (30pk) - все позиции находятся на приемке, постепенно появятся на стоке. Продукт сложный - проблем нет.
Незначительное ухудшение ситуации по сложным линзам Бренд  произошло в связи с уменьшением стока по продукту MyDay Toric (30pk) - все позиции находятся на приемке, постепенно появятся на стоке. Продукт сложный - проблем нет.
Незначительное ухудшение ситуации по сложным линзам Диагностика  произошло в связи с уменьшением стока по продукту Diag Biofinity Multifocal (1pk) - все позиции находятся на приемке, постепенно появятся на стоке. Продукт сложный - проблем нет.
По сфере всего 53 выпавших диоптрий (51 – Revenue и 2 FOC), из них 5,66% – ходовые продукты из категории А.
Категория А  (по штукам) включает в себя 3 артикула (1 Revenue  2  FOC).  
</text>
  </threadedComment>
  <threadedComment ref="EZ1" dT="2024-05-16T06:40:30.28" personId="{DDC878C5-42F0-4579-B670-42E3CC72D663}" id="{1948D64A-841E-4F48-8899-ED37AF8AF303}">
    <text xml:space="preserve">Незначительное ухудшение ситуации по сфере ЧМ и ХБ  произошло в связи с уменьшением стока по продукту WB Stenfilcon A 54% 1 Day MD (30pk) - все 7 позиций находятся на приемке, постепенно появятся на стоке. Проблем нет. По 1 позиции категории А информация ниже.
По сфере всего 45 выпавших диоптрий (44 – Revenue и 1 FOC), из них 15,56% – ходовые продукты из категории А.
Категория А  (по штукам) включает в себя 7 артикулов (6 Revenue  1  FOC).  
Информация ниже – преимущественно все находятся в 9 машине – проверить, что в приоритете на приемку @Anna Bodrenkova. 
По -0700 Биофинити 3пк – в транзите в машине 10 – ждем приход.
</text>
    <extLst>
      <x:ext xmlns:xltc2="http://schemas.microsoft.com/office/spreadsheetml/2020/threadedcomments2" uri="{F7C98A9C-CBB3-438F-8F68-D28B6AF4A901}">
        <xltc2:checksum>1262977099</xltc2:checksum>
        <xltc2:hyperlink startIndex="549" length="16" url="mailto:abodrenkova@coopervision.com"/>
      </x:ext>
    </extLst>
  </threadedComment>
  <threadedComment ref="FI1" dT="2024-07-25T07:33:40.55" personId="{DDC878C5-42F0-4579-B670-42E3CC72D663}" id="{301D6F4D-DD47-4054-8447-D5509F5D63C7}">
    <text xml:space="preserve">Ухудшение ситуации по продуктам:
Сфера Бренд. Незначительное уменьшение стока Proclear  (6pk) – 4 плюсовые позиции категории В и С, все приехали в 15 машине –  сток будет принят в течение августа. Так как позиции не популярные, то приоритет не нужен.
Сложные линзы Бренд.  Уменьшение стока MyDay Toric (30pk) - продукт сложный, практически все позиции в приемке из 15 машины и будут на стоке в течение августа.
Сложные линзы Диагностика. Уменьшение стока Diag Biofinity Multifocal (1pk) – продукт сложный, все позиции в приемке из 15 машины и будут на стоке в течение августа.
По сфере всего 22 выпавших диоптрий (22 – Revenue и 0 FOC).
Из них 6 диоптрий из категории А (27,27%), информация по ним ниже:
</text>
  </threadedComment>
  <threadedComment ref="FJ1" dT="2024-08-01T08:08:22.20" personId="{DDC878C5-42F0-4579-B670-42E3CC72D663}" id="{704077EA-753B-4683-9F0A-E0F0D91E7750}">
    <text xml:space="preserve">Ухудшение ситуации по продуктам:
Сложные линзы ЧМ и ХБ.  Уменьшение стока WB Comfilcon A multifocal BF (3 pk)- продукт сложный, все позиции в приемке из 14-15 машин и будут на стоке в течение августа.
По сфере всего 16 выпавших диоптрий (16 – Revenue и 0 FOC).
Из них 3 диоптрий из категории А (18,75%), информация по ним ниже:
Product	Active SKU	14,15 trucks	6 truck	DP open orders	Комментарий
MyDay (30pk)_Bespoke	LMDAY1BI84-0225	0	0	636	 Стоп на НОВЫЕ заказы с 31.07.2024 года. Уже заказанные количества будут выезжать в следующей машине на след неделе из ЮК, на складе в середине августа.
MyDay (30pk)_Bespoke	LMDAY1BI84-0850	0	0	106	Стоп на НОВЫЕ заказы с 31.07.2024 года. Уже заказанные количества будут выезжать в следующей машине на след неделе из ЮК, на складе в середине августа.
MyDay (90pk)LMYDY1BL84-022500100Стоп на НОВЫЕ заказы с 31.07.2024 года. Уже заказанные количества будут выезжать в следующей машине на след неделе из ЮК, на складе в середине августа.
Тогда по Май Дэй (сфера и торика) в дальнейшем так же будем смотреть, есть ли позиция в транзите или нет. Если есть – оставляем в отчете, если нет – то будем исключать из отчета и ставить статус Discontinued. Верно ? @Anna Bodrenkova  
</text>
    <extLst>
      <x:ext xmlns:xltc2="http://schemas.microsoft.com/office/spreadsheetml/2020/threadedcomments2" uri="{F7C98A9C-CBB3-438F-8F68-D28B6AF4A901}">
        <xltc2:checksum>2805570698</xltc2:checksum>
        <xltc2:hyperlink startIndex="1193" length="16" url="mailto:abodrenkova@coopervision.com"/>
      </x:ext>
    </extLst>
  </threadedComment>
  <threadedComment ref="FK1" dT="2024-08-08T06:34:31.69" personId="{DDC878C5-42F0-4579-B670-42E3CC72D663}" id="{D2C1A525-58F0-42E3-AD78-8A38879DD725}">
    <text xml:space="preserve">Ухудшение ситуации по продуктам:
Сложные линзы ЧМ и ХБ.  Уменьшение стока WB Comfilcon A multifocal BF (3 pk)- продукт сложный, практически все позиции на приемке из машины 15.  На стоке будут до конца августа.
Сфера Бренд.  Уменьшение стока Clariti 1 Day (30pk)_Bespoke – 4 позиции поедут в транзите в машине 16 – выезд из ДП 09 августа, на складе 21-23 августа - затем ставим в приоритет @Anna Bodrenkova
Сложные линзы Бренд.  Уменьшение стока Biofinity multifocal (3 pk)- продукт сложный, практически все позиции на приемке из машины 15.  На стоке будут до конца августа.
Сложные линзы Диагностика.  Уменьшение стока Diag Biofinity Multifocal (1pk) - продукт сложный, практически все позиции на приемке из машины 15.  На стоке будут до конца августа.
По сфере всего 17 выпавших диоптрий (17 – Revenue и 0 FOC).
Из них 6 диоптрий из категории А (35,29%), информация по ним ниже:
Product	Active SKU	16 truck	Комментарий
Clariti 1 Day (30pk)_Bespoke	LCRUSDSI86-0525	438	Количества выезжают из ДП в машине 16 9 августа, на складе 21-23 августа, затем ставим в приоритет на приемку
Clariti 1 Day (30pk)_BespokeLCRUSDSI86-0800199Количества выезжают из ДП в машине 16 9 августа, на складе 21-23 августа, затем ставим в приоритет на приемку
MyDay (30pk)_BespokeLMDAY1BI84-0225315 Стоп на НОВЫЕ заказы с 31.07.2024 года. Данные уже заказанные давно количества выезжают из ДП в машине 16 9 августа, на складе 21-23 августа, затем ставим в приоритет на приемку
MyDay (30pk)_BespokeLMDAY1BI84-0350598 Стоп на НОВЫЕ заказы с 31.07.2024 года. Данные уже заказанные давно количества выезжают из ДП в машине 16 9 августа, на складе 21-23 августа, затем ставим в приоритет на приемку
MyDay (30pk)_BespokeLMDAY1BI84-0525211 Стоп на НОВЫЕ заказы с 31.07.2024 года. Данные уже заказанные давно количества выезжают из ДП в машине 16 9 августа, на складе 21-23 августа, затем ставим в приоритет на приемку
MyDay (90pk)LMYDY1BL84-0225100 Стоп на НОВЫЕ заказы с 31.07.2024 года. Данные уже заказанные давно количества выезжают из ДП в машине 16 9 августа, на складе 21-23 августа, затем ставим в приоритет на приемку
</text>
    <extLst>
      <x:ext xmlns:xltc2="http://schemas.microsoft.com/office/spreadsheetml/2020/threadedcomments2" uri="{F7C98A9C-CBB3-438F-8F68-D28B6AF4A901}">
        <xltc2:checksum>753521862</xltc2:checksum>
        <xltc2:hyperlink startIndex="390" length="16" url="mailto:abodrenkova@coopervision.com"/>
      </x:ext>
    </extLst>
  </threadedComment>
  <threadedComment ref="FS1" dT="2024-10-04T07:57:45.48" personId="{DDC878C5-42F0-4579-B670-42E3CC72D663}" id="{2E897377-E210-41CE-B611-7E515D093D18}">
    <text xml:space="preserve">Ухудшение ситуации по продукту:
Сфера ЧМ и ХБ (включая препринт).  Уменьшение стока по продукту WB Stenfilcon A 54% 1 Day MD (30pk)– уменьшение незначительное.  2 позиции категории А (тянутся с прошлой недели) – в приоритете, примут в ближайшее время. 1 позиция категории В – находится в транзите в 19 машине – на склад поступит примерно 7-8 октября, затем на стоке будет в течение октября – не проблема.
Сфера Бренд. Уменьшение стока по продукту Proclear 1 day (30pk) – 2 позиции, находятся на приемке из 17 и 18 машин, до конца октября на стоке. Не проблема.
Сфера Диагностика. Уменьшение стока по продукту Diag MiSight 1 Day (5 pk) – 1 позиция категории А – комментарий ниже.
Сложные линзы Диагностика.  Уменьшение стока Diag Biofinity Multifocal (1pk)- продукт сложный, из 87 позиций 66 в машине 17. На стоке до конца октября. Не проблема
По сфере всего 24 выпавших диоптрий (23 Revenue и 1 FOC).
Из них 7 диоптрий из категории А (29,17%), информация по ним ниже:
</text>
  </threadedComment>
  <threadedComment ref="FT1" dT="2024-10-10T12:53:00.70" personId="{DDC878C5-42F0-4579-B670-42E3CC72D663}" id="{83ABBA8E-CBE0-4B53-A7D1-1FD2771B1992}">
    <text xml:space="preserve">
Ухудшение ситуации по продукту:
Сфера ЧМ и ХБ (включая препринт).  Уменьшение стока по продукту WB Stenfilcon A 54% 1 Day MD (30pk)– 6 позиций, 5 из них категории А. 2 позиции будут выезжать в машине 20 в ближайшую неделю из ДП, по приезду в конце октября поставим в приоритет на приемку. Оставшиеся 4 позиции на приемке из машины 19 – все в приоритете, 2 из них будут приняты в рамках доп приемки на выходные 12-13 октября (согласовано).
Сложные линзы ЧМ и ХБ (включая препринт).  Уменьшение стока по продукту WB Comfilcon A toric BF (3pk) –  из 146 позиций 126 на приемке из машины 18 – до конца октября будут на стоке – не проблема.
Сфера Бренд. Уменьшение стока по продукту Biofinity XR (3 pk)– 1 позици категории B, находится на приемке из 19  машины, до конца октября на стоке. Не проблема. 
Сложные линзы Бренд.  Уменьшение стока Biofinity Toric (3 pk) (new) - продукт сложный, большинство позиций находятся на приемке из 18-19 машин. На стоке до конца октября. Не проблема
Сфера Диагностика. Уменьшение стока по продукту Diag MiSight 1 Day (5 pk) – 2 позиции категории А – комментарий ниже.
По сфере всего 26 выпавших диоптрий (24 Revenue и 2 FOC).
Из них 7 диоптрий из категории А (26,92%), информация по ним ниже:
</text>
  </threadedComment>
  <threadedComment ref="FV1" dT="2024-10-24T13:55:22.18" personId="{DDC878C5-42F0-4579-B670-42E3CC72D663}" id="{307449FA-8906-4328-A61A-B47DE817DBCC}">
    <text xml:space="preserve">Ухудшение ситуации по продукту:
Сфера ЧМ и ХБ (включая препринт).  Уменьшение стока по продукту iWear harmony (30pk) – 11 позиций в итоге  ушли в БО в связи с доп квотой на отгрузку в октябре (сильное превышение отгрузок). Поставку ожидаем во второй половине ноября. 
Сфера Бренд. Уменьшение стока по продукту Biofinity XR (3 pk) – 4 позиции, приемка в целом до 30 октября.
Сложные линзы Бренд. Уменьшение стока по продукту Biofinity Toric (3 pk) (new) – продукт сложный, не проблема, в поставках есть и на приемке так же 
Сложные линзы Диагностика. Уменьшение стока по продукту Diag Biofinity Toric (1pk) –сложный продукт, большинство будет принято до конца ноября – не проблема.
По сфере всего 53 выпавших диоптрий (50 Revenue и 3 FOC).
Из них 25 диоптрий из категории А (47,17%), информация по ним ниже:
</text>
  </threadedComment>
  <threadedComment ref="FW1" dT="2024-10-31T08:59:17.03" personId="{DDC878C5-42F0-4579-B670-42E3CC72D663}" id="{B513CA0D-4F6E-4393-B242-972271D6FF11}">
    <text xml:space="preserve">Ухудшение ситуации по продукту:
Сфера ЧМ и ХБ (включая препринт).  Уменьшение стока по продукту WB Stenfilcon A 54% 1 Day MD (30pk)– всего 13 позиций, бОльшинство находится в 20 машине – в приоритете, в ближайшее время примут на сток.
Сложные линзы ЧМ и ХБ (включая препринт). Уменьшение стока по продукту WB Comfilcon A multifocal BF (3 pk) – 16 позиций категории В и С, на стоке будут в первоц половине ноября – не проблема.
Сложные линзы Бренд. Уменьшение стока по продукту Biofinity multifocal (3 pk)– продукт сложный, не проблема, в поставках есть и на приемке так же 
Сложные линзы Диагностика. Уменьшение стока по продукту Diag Biofinity Multifocal (1pk) –сложный продукт, большинство будет принято до конца ноября – не проблема.
По сфере всего 53 выпавших диоптрий (51 Revenue и 2 FOC).
Из них 27 диоптрий из категории А (50,94%), информация по ним ниже:
</text>
  </threadedComment>
  <threadedComment ref="FX1" dT="2024-11-11T06:33:40.52" personId="{DDC878C5-42F0-4579-B670-42E3CC72D663}" id="{872EC8DF-7E68-407E-A00E-D1B63C1861E2}">
    <text xml:space="preserve">Ухудшение ситуации по продукту:
Сложные линзы ЧМ и ХБ (включая препринт). Уменьшение стока по продукту WB Comfilcon A toric BF (3pk) – сложный продукт, позиции категории В и С, на приемке и в транзите есть – не проблема.
Сфера Диагностика. Уменьшение стока по продукту Diag Clariti 1day (5pk)– 2 плюсовые позиции категории В, есть на приемке – не проблема.
По сфере всего 43 выпавших диоптрий (40 Revenue и 3 FOC).
Из них 17 диоптрий из категории А (39,53%), информация по ним ниже:
</text>
  </threadedComment>
  <threadedComment ref="GA1" dT="2024-11-28T11:33:41.24" personId="{DDC878C5-42F0-4579-B670-42E3CC72D663}" id="{41A994E0-202F-4B46-BA22-A064B58361F6}">
    <text xml:space="preserve">Ухудшение ситуации по продукту:
Сфера ЧМ и ХБ (включая препринт). Уменьшение стока по продукту Aculife One Day (30pk)– была перезатарка клиента перед новым годом, следующий заказ ожидаем в январе. Сток приедет в 25 машине в середине декабря, приемка до середины января.
Сложные линзы Диагностика. Уменьшение стока по продукту Diag Biofinity Multifocal (1pk)– сложный продукт, паллету из 20 машины отставили на приемку в начале-середине декабря.
По сфере всего 51 выпавших диоптрий (47 Revenue и 4 FOC).
Из них 17 диоптрий из категории А (33,33%), информация по ним ниже:
</text>
  </threadedComment>
  <threadedComment ref="GB1" dT="2024-12-05T08:11:37.60" personId="{DDC878C5-42F0-4579-B670-42E3CC72D663}" id="{A4911875-C3A7-4DC2-8C21-B9876D6C93AE}">
    <text xml:space="preserve">Ухудшение ситуации по продукту:
Сфера ЧМ и ХБ (включая препринт). Уменьшение стока по продукту iWear Activ (30pk)–  4 непопулярные позиции категории С – находятся в 24-25 машинах, не проблема.
Сложные линзы ЧМ и ХБ (включая препринт). Уменьшение стока по продукту WB Somofilcon A toric 56% 1 Day (30pk)– продукт сложный, уменьшение незначительное, не проблема.
Сфера Диагностика. Уменьшение стока по продукту Diag Clariti 1day (5pk)– 1 позиция категории А, 4 позиции категории В – все на приемке из 23 машины – в ближайшее время будет на стоке.
Сложные линзы Диагностика. Уменьшение стока по продукту Diag Biofinity Multifocal (1pk)– сложный продукт, паллету из 20 машины отставляли на приемку в начале-середине декабря, в декабре примут.
По сфере всего 46 выпавших диоптрий (41 Revenue и 5 FOC).
Из них 17 диоптрий (позиции повторяют на 95% прошлую неделю) из категории А (36,96%), информация по ним ниже:
</text>
  </threadedComment>
  <threadedComment ref="GC1" dT="2024-12-12T09:39:34.91" personId="{DDC878C5-42F0-4579-B670-42E3CC72D663}" id="{D985681E-8CE1-483C-B0B3-5F1BEE164A7F}">
    <text xml:space="preserve">Приемка хорошо поработала)
По сфере всего 38 выпавших диоптрий (37 Revenue и 1 FOC).
Из них 13 диоптрий (позиции повторяют на 77% прошлую неделю) из категории А (34,21%), информация по ним ниже:
</text>
  </threadedComment>
  <threadedComment ref="GD1" dT="2024-12-12T09:39:34.91" personId="{DDC878C5-42F0-4579-B670-42E3CC72D663}" id="{CE5CE3D1-AF39-4B05-834D-3095B71C5FB7}">
    <text xml:space="preserve">Приемка хорошо поработала)
По сфере всего 38 выпавших диоптрий (37 Revenue и 1 FOC).
Из них 13 диоптрий (позиции повторяют на 77% прошлую неделю) из категории А (34,21%), информация по ним ниже:
</text>
  </threadedComment>
  <threadedComment ref="GE1" dT="2024-12-12T09:39:34.91" personId="{DDC878C5-42F0-4579-B670-42E3CC72D663}" id="{7B4C4763-9182-468A-93CD-677DAADDD7CD}">
    <text xml:space="preserve">Приемка хорошо поработала)
По сфере всего 38 выпавших диоптрий (37 Revenue и 1 FOC).
Из них 13 диоптрий (позиции повторяют на 77% прошлую неделю) из категории А (34,21%), информация по ним ниже:
</text>
  </threadedComment>
  <threadedComment ref="GH1" dT="2025-01-31T07:53:37.32" personId="{DDC878C5-42F0-4579-B670-42E3CC72D663}" id="{97628ACC-FBF4-4815-BCCF-2B68DA68FB51}">
    <text xml:space="preserve">Ухудшение ситуации по продукту:
Сложные линзы ЧМ и ХБ (включая препринт). Уменьшение стока по продукту WB Stenfilcon A toric 54% 1 Day MD (30pk) – сложный продукт, не проблема.
Сфера Бренд. Уменьшение стока по продукту  Proclear 1 day (30pk) – позиции в 1 и 2 машине, стоят в приоритете.
Сложные линзы Бренд. Уменьшение стока по продукту  Clariti 1 Day toric (30pk) - сложный продукт, не проблема.
Сфера Диагностика. Уменьшение стока по продукту  Diag MiSight 1 Day (5 pk) - позиции в 1 машине, стоят в приоритете.
Сложные линзы Диагностика. Уменьшение стока по продукту  Diag Biofinity Multifocal (1pk) - сложный продукт, не проблема.
</text>
  </threadedComment>
  <threadedComment ref="GI1" dT="2025-02-13T10:38:44.83" personId="{DDC878C5-42F0-4579-B670-42E3CC72D663}" id="{E119B805-4408-45B2-B352-255390E542BB}">
    <text xml:space="preserve">Ухудшение ситуации по продукту:
Сфера Бренд. Уменьшение стока по продукту Biofinity Energys (3pk) – 18 плюсовых позиции категории С – в транзите, проблем нет.
Сложные линзы Бренд. Уменьшение стока по продукту Clariti 1 Day multifocal (30pk) – 1 позиция категории В, на приемке есть, сложный продукт, не проблема.
Сфера Диагностика. Уменьшение стока по продукту  Diag MiSight 1 Day (5 pk) – 5 позиций категории А, в приоритете, в ближайшее время будет на стоке.
Сложные линзы Диагностика. Уменьшение стока по продукту  Diag Biofinity Toric (1pk) - сложный продукт, не проблема.
По сфере всего 64 выпавших диоптрий (59 Revenue и 4 FOC). 
</text>
  </threadedComment>
  <threadedComment ref="GQ1" dT="2025-04-10T12:44:35.70" personId="{DDC878C5-42F0-4579-B670-42E3CC72D663}" id="{0D67C9D9-7ED8-427C-B224-7B5CCA08B520}">
    <text xml:space="preserve">Ухудшение ситуации по продукту:
Сфера ЧМ и ХБ (включая препринт). Уменьшение стока по продукту iWear Activ (30pk) (new) – 6 неходовых позиций категории С – ожидаем в след машине – приезд в конце апреля – не проблема.
Сложные линзы Диагностика. Уменьшение стока по продукту Diag MyDay Toric (5pk) – сложный продукт, позиции категории В и С – бОльшая часть на приемке – скоро появится на стоке, часть на производстве.
По сфере всего 43 выпавших диоптрий (36 Revenue и 7 FOC). 
Из них 3 диоптрии из категории А (6,98%), 
</text>
  </threadedComment>
  <threadedComment ref="GW1" dT="2025-06-05T10:32:45.17" personId="{DDC878C5-42F0-4579-B670-42E3CC72D663}" id="{8ED6579C-00B4-4E97-8D32-6D4B60B8E3E3}">
    <text xml:space="preserve">Ухудшение ситуации по продукту:
Сфера ЧМ и ХБ (включая препринт). Уменьшение стока по продукту Biosoft Premium (3pk) – после списания по срокам годности вылезли 6 неходовых позиций категории С  ООС, БО по ним нет, все заказаны на производстве – проблем вообще нет.
По сфере всего 89 выпавших диоптрий (85 Revenue и 4 FOC). 
Из них 16 диоптрий из категории А (17,98%), 
</text>
  </threadedComment>
  <threadedComment ref="GX1" dT="2025-07-04T06:53:55.45" personId="{DDC878C5-42F0-4579-B670-42E3CC72D663}" id="{585DF15C-68EC-46CA-B1AB-9DF0A9F12CCC}">
    <text xml:space="preserve">Ухудшение ситуации по продукту:
Сфера ЧМ и ХБ (включая препринт). Уменьшение стока по продукту Biosoft Premium (3pk) – 13 неходовых позиций категории С, 5 из которых едут в 12 машине – 10-12 июля машина прибудет на склад, приемка в спокойном режиме, проблем нет.
Сложные линзы ЧМ и ХБ (включая препринт). Уменьшение стока по продукту WB Comfilcon A toric BF (3pk) – продукт сложный, все заказано и бОльшая часть уже едет в машине 12 – проблем нет.
Сфера Бренд. Уменьшение стока по продукту Proclear  (6pk). Данный продукт выводится из ассортимента с конца ноября 2025. Об этом сообщили клиентам в июне и пошел oversales.  Продукт убрали из автоматического пополнения, наша цель – иметь максимально низкие стоки к моменту hard стоп продаж.  Сейчас из 36 позиций 19 едут в машине 12, в середине июля по приоритету поступят на сток.
Сложные линзы Бренд. Уменьшение стока по продукту Biofinity multifocal (3 pk) – сложный продукт, категории С, бОльшая часть на приемке из 11 и в транзите в 12 машине – не проблема
Сложные линзы Диагностика. Уменьшение стока по продукту Diag MyDay Toric (5pk) – незначительное уменьшение, проблем нет.
По сфере всего 116 выпавших диоптрий (115 Revenue и 1 FOC). 
</text>
  </threadedComment>
  <threadedComment ref="GY1" dT="2025-07-10T16:33:16.85" personId="{E45F7787-BA74-424C-8A3A-CFF16909A0A1}" id="{81EF4BBB-2047-4C62-94EF-0004F0800621}">
    <text xml:space="preserve">Сфера ЧМ и ХБ (включая препринт). Уменьшение стока по продукту Airway Premium 1 Day (30 pk) – незапланированное перевыполнение плана. Заказ разместили, план гипериона поправим с июльского сабмишшна. Данные БО закроем в сентябре.
Сложные линзы ЧМ и ХБ (включая препринт). Уменьшение стока по продукту WB Somofilcon A toric 56% 1 Day (30pk) – продукт сложный, многие позиции приехали  в машине 12, приемка идет – проблем нет.
Сфера Бренд. Уменьшение стока по продукту Proclear  (6pk). Данный продукт выводится из ассортимента с конца ноября 2025. Об этом сообщили клиентам в июне и пошел oversales.  Продукт убрали из автоматического пополнения, наша цель – иметь максимально низкие стоки к моменту hard стоп продаж.  Некоторые позиции приехали в машине 12 – идет приемка, в остальном размещен заказ с покрытием до конца ноября – ожидаем сток в августе.
Сложные линзы Диагностика. Уменьшение стока по продукту Diag Biofinity Multifocal (1pk)– незначительное уменьшение, проблем нет.
</text>
  </threadedComment>
  <threadedComment ref="GZ1" dT="2025-07-22T10:49:19.10" personId="{E45F7787-BA74-424C-8A3A-CFF16909A0A1}" id="{AC620A60-47B9-4E4D-AD1E-8438C09298EA}">
    <text xml:space="preserve">Сложные линзы ЧМ и ХБ (включая препринт). Уменьшение стока по продукту WB Comfilcon A toric BF (3pk) незначительное – продукт сложный, многие позиции приехали  в машине 12, приемка идет – проблем нет.
Сфера Бренд. Уменьшение стока по продукту Proclear  (6pk). Данный продукт выводится из ассортимента с конца ноября 2025. Об этом сообщили клиентам в июне и пошел oversales.  Продукт убрали из автоматического пополнения, наша цель – иметь максимально низкие стоки к моменту hard стоп продаж.  Некоторые позиции приехали в машине 12 – идет приемка, в остальном размещен заказ с покрытием до конца ноября – ожидаем сток в августе.
Сложные линзы Бренд. Уменьшение стока по продукту MyDay Toric (30pk) незначительное – продукт сложный, многие позиции приехали  в машине 12, приемка идет – проблем нет.
Сложные линзы Диагностика. Уменьшение стока по продукту Diag Biofinity Toric (1pk) - незначительное уменьшение, проблем нет
</text>
  </threadedComment>
  <threadedComment ref="HA1" dT="2025-07-24T12:20:27.35" personId="{E45F7787-BA74-424C-8A3A-CFF16909A0A1}" id="{5AB9791E-59EB-4749-9992-62A94544D2FA}">
    <text xml:space="preserve">Ухудшение ситуации по продукту:
Сфера ЧМ и ХБ (включая препринт). Уменьшение стока по продукту WB Comfilcon asphere (3pk) – позиции находятся в 13 машине, машина не может выехать по техническим проблемам уже 3 недели.
Сфера Бренд. Уменьшение стока по продукту Proclear  (6pk). Данный продукт выводится из ассортимента с конца ноября 2025. Об этом сообщили клиентам в июне и пошел oversales.  Продукт убрали из автоматического пополнения, наша цель – иметь максимально низкие стоки к моменту hard стоп продаж.  Размещен заказ с покрытием до конца ноября – ожидаем сток в августе.
Сложные линзы Бренд. Уменьшение стока по продукту Clariti 1 Day multifocal (30pk) незначительное – продукт сложный, всего 4 позиции категории В и С – 2 из которых поедут в машине 13.
Сфера Диагностика. Уменьшение стока по продукту Diag Proclear 1 day (5pk) - незначительное уменьшение, 1 позиция категории С, проблем нет.
</text>
  </threadedComment>
  <threadedComment ref="HB1" dT="2025-07-31T09:06:40.63" personId="{E45F7787-BA74-424C-8A3A-CFF16909A0A1}" id="{6EC590EF-63BB-495A-9859-6BE18B6AD081}">
    <text xml:space="preserve">Сфера ЧМ и ХБ (включая препринт). Уменьшение стока по продуктам Biosoft Premium (3pk)  и WB Comfilcon asphere (3pk) после списания стока по срокам годности 30 июля. Здесь все позиции категории С – все они заказаны и едут в машинах – проблем нет.
Сложные линзы ЧМ и ХБ (включая препринт). Уменьшение стока по продукту WB Comfilcon A toric BF (3pk) – сложный продукт, все заказано и едет
Сфера Бренд. Уменьшение стока по продукту MiSight 1 day (90pk) – 2 позиции категории С – одна едет в машине 13, вторая поедем позже. Проблем не вижу
Сложные линзы Бренд. Уменьшение стока по продукту Biofinity Toric (3 pk) (new)– продукт сложный, все заказано и едет 
Сфера Диагностика. Уменьшение стока по продукту Diag Avaira Vitality (3pk) - 2 позиции категории С – одна едет в машине 13, вторая поедем позже. Проблем не вижу
Сложные линзы Диагностика. Уменьшение стока по продукту Diag Biofinity Toric (1pk) – продукт сложный, все заказано и едет
</text>
  </threadedComment>
  <threadedComment ref="HC1" dT="2025-08-08T08:28:57.15" personId="{DDC878C5-42F0-4579-B670-42E3CC72D663}" id="{408B5B29-5553-4F91-B9DA-E82C6D41BE50}">
    <text xml:space="preserve">Коллеги, я убрала семейство Проклиар из отчета, так как август – последний месяц размещения клиентами заказов и сейчас оооочень много БО – ситуация очень сильно будет искажена, поэтому лучше исключить вовсе. За счет того, что убрала продукт – видим зеленые +4% к прошлому отчету по сфере Бренду.
Ухудшение ситуации по продукту:
Сфера ЧМ и ХБ (включая препринт). Уменьшение стока по продукту WB Somofilcon A 56% 1 day (30pk) – 2 позиции категории С – проблем не вижу.
Сложные линзы ЧМ и ХБ (включая препринт). Уменьшение стока по продукту WB Comfilcon A toric BF (3pk) – сложный продукт, все заказано и едет
Сложные линзы Бренд. Уменьшение стока по продукту Clariti 1 Day multifocal (30pk) - продукт сложный, все заказано и едет 
Сложные линзы Диагностика. Уменьшение стока по продукту Diag Biofinity Multifocal (1pk) – продукт сложный, все заказано и едет
По сфере всего 145 выпавших диоптрий (143 Revenue и 2 FOC). 
Из них 39 диоптрий из категории А (26,9%), информация по ним ниже:
Обращаю внимание, что выделенные красным 29 позиций приехали в машине 13, которая была задержана на 3 недели, приемка в приоритете – в ближайшие недели будут на стоке.
</text>
  </threadedComment>
  <threadedComment ref="HD1" dT="2025-08-15T06:08:33.96" personId="{DDC878C5-42F0-4579-B670-42E3CC72D663}" id="{085F0BA3-C6B7-421E-B1C7-20915B1F0801}">
    <text xml:space="preserve">Ухудшение ситуации по продукту:
Сложные линзы ЧМ и ХБ (включая препринт). Уменьшение стока по продукту WB Comfilcon A toric BF (3pk) – сложный продукт, все заказано и едет
Сфера Бренд.  Уменьшение стока по продукту Clariti 1 Day (90pk) – в связи с перевыполнением плана в июне и июле + задержка в поставках выпали позиции в ООС – ожидаем восстановление стока в конце сентября - октября
Сложные линзы Бренд. Уменьшение стока по продукту Clariti 1 Day multifocal (30pk) - продукт сложный, все заказано и едет  
Сложные линзы Диагностика. Уменьшение стока по продукту Diag Biofinity Multifocal (1pk) – продукт сложный, все заказано и едет 
По сфере всего 145 выпавших диоптрий (143 Revenue и 2 FOC). 
Из них 36 диоптрий из категории А (24,83%), 
</text>
  </threadedComment>
  <threadedComment ref="HE1" dT="2025-08-22T10:57:35.02" personId="{DDC878C5-42F0-4579-B670-42E3CC72D663}" id="{BD2701D8-89F0-49BA-89E7-61BF6EE7F1C1}">
    <text xml:space="preserve">Ухудшение ситуации по продукту:
Сложные линзы ЧМ и ХБ (включая препринт). Уменьшение стока по продукту WB Comfilcon A toric BF (3pk) – сложный продукт, все заказано и едет
Сфера Бренд.  Уменьшение стока по продукту Clariti 1 Day (90pk) – в связи с значительным перевыполнением плана в июне -июле-августе + задержка в поставках выпали позиции в ООС – ожидаем восстановление стока в конце сентября – октября. Пока нет возможности поднять гиперион -только в начале сентября.
Сложные линзы Бренд. Уменьшение стока по продукту Clariti 1 Day multifocal (30pk) - продукт сложный, все заказано и едет  
Сложные линзы Диагностика. Уменьшение стока по продукту Diag Clariti 1day  multifocal (5pk) (new) – продукт сложный, все заказано и едет 
По сфере всего 158 выпавших диоптрий (156 Revenue и 2 FOC). 
Из них 38 диоптрий из категории А (24,05%), информация по ним ниже:
23 позиции находятся в машине 14 – выделены красным – на стоке в ближайшие недели
</text>
  </threadedComment>
  <threadedComment ref="HF1" dT="2025-08-28T18:35:41.74" personId="{DDC878C5-42F0-4579-B670-42E3CC72D663}" id="{FCA094AF-26F4-46BF-82B4-040C11E057F9}">
    <text xml:space="preserve">Ухудшение ситуации по продукту:
Сфера ЧМ и ХБ (включая препринт). Уменьшение стока по продукту WB Comfilcon asphere (3pk) – преимущественно категория С – выпали после списания по срокам годности. В транзитах едут
Сложные линзы ЧМ и ХБ (включая препринт). Уменьшение стока по продукту WB Stenfilcon A toric 54% 1 Day MD (30pk) – преимущественно все едут в машине 16 – на стоке в конце сентября
Сфера Бренд.  Уменьшение стока по продукту Biofinity XR (3 pk) – 5 позиций, все в приоритете из 14 машины – до конца недели будут на стоке
Сложные линзы Бренд. Уменьшение стока по продукту Clariti 1 Day multifocal (30pk) – в 15 и 16 машинах продукт есть- до конца сентября будет на стоке
Сложные линзы Диагностика. Уменьшение стока по продукту Diag Biofinity Multifocal (1pk) – продукт сложный, все заказано и едет 
По сфере всего 157 выпавших диоптрий (155 Revenue и 2 FOC). 
Из них 39 диоптрий из категории А (24,84%), информация по ним ниже:
21 позиция приехала в машине 14 – выделены красным – на стоке в ближайшую неделю.
</text>
  </threadedComment>
  <threadedComment ref="HG1" dT="2025-09-05T09:40:48.40" personId="{DDC878C5-42F0-4579-B670-42E3CC72D663}" id="{535433FD-FA83-41E5-8A71-86C4E19F750E}">
    <text xml:space="preserve">В целом после приемки 14 машины мы подтянулись -это радует)) Ждем остальные машины
Ухудшение только по WB Comfilcon asphere (3pk) – там позиции категории С в основном, а позиции категории А приехали в машине 15 – ждем приемку. В приоритете
По сфере всего 155 выпавших диоптрий (153 Revenue и 2 FOC). 
Из них 39 диоптрий из категории А (25,16%), информация по ним ниже:
24 позиции приехала в машине 15 – выделены красным – на стоке в ближайшую неделю.
</text>
  </threadedComment>
  <threadedComment ref="HH1" dT="2025-09-26T08:44:32.41" personId="{DDC878C5-42F0-4579-B670-42E3CC72D663}" id="{292A6373-FC47-4EC7-994E-E0B3CFFE8219}">
    <text xml:space="preserve">Ухудшение ситуации по продукту:
Сложные линзы Диагностика. Уменьшение стока по продукту Diag Biofinity Multifocal (1pk) – все позиции категории С, приехали – ожидаем приемку, не проблема
По сфере всего 113 выпавших диоптрий (112 Revenue и 1 FOC). 
Из них 36 диоптрий из категории А (31,86%), информация по ним ниже:
14 позиций будут на стоке до конца сентября – выделены красным
</text>
  </threadedComment>
  <threadedComment ref="HI1" dT="2025-10-02T08:18:38.66" personId="{DDC878C5-42F0-4579-B670-42E3CC72D663}" id="{33C35D6B-F000-4811-B8BC-0CE76C51DE45}">
    <text xml:space="preserve">В целом положительная динамика – что не может не радовать)) спасибо приемке!
Ухудшение ситуации по продукту:
Сложные линзы Диагностика. Уменьшение стока по продукту Diag Biofinity Multifocal (1pk) – все позиции категории С, приехали – ожидаем приемку, не проблема
По сфере всего 71 выпавших диоптрий (70 Revenue и 1 FOC). 
Из них 28 диоптрий из категории А (39,44%), информация по ним ниже:
</text>
  </threadedComment>
  <threadedComment ref="HJ1" dT="2025-10-09T09:10:46.26" personId="{DDC878C5-42F0-4579-B670-42E3CC72D663}" id="{916F8E31-0C60-4D05-85B3-50F4AC5EABFB}">
    <text xml:space="preserve">Ухудшение ситуации по продукту:
Сфера ЧМ и ХБ (включая препринт). Уменьшение стока по продукту iWear Activ (30pk) (new)– писала информацию в разных письмах о нем. Причины – перевыполнение плана + наслоилась ошибка при расчете заказа на производство и, соответственно, задержка в размещении нужного заказа. Все заказано и приоритезировано по всем фронтам
Сложные линзы ЧМ и ХБ (включая препринт). Уменьшение стока по продукту iWear activ astigmatism (30 pk) – все позиции категории С, приехали – ожидаем приемку, не проблема
Сфера Бренд. Уменьшение стока по продукту MyDay (90pk) – часть позиций на приемке (приоритезировано) + часть едет в 20 машине – поставим в приоритет с доступностью в конце октября
Сложные линзы Бренд. Уменьшение стока по продукту Clariti 1 Day multifocal (30pk)– позиции категории С – все на приемке
Сфера Диагностика. Уменьшение стока по продукту Diag Avaira Vitality (3pk)– 2 позиции категории С, приехали – ожидаем приемку, не проблема
По сфере всего 97 выпавших диоптрий (95 Revenue и 2 FOC). 
Из них 34 диоптрий из категории А (35,05%), 
</text>
  </threadedComment>
  <threadedComment ref="HK1" dT="2025-10-16T10:10:15.48" personId="{DDC878C5-42F0-4579-B670-42E3CC72D663}" id="{0C6A9690-FB48-4E4A-92CD-BF4E8658731E}">
    <text xml:space="preserve">Ухудшение ситуации по продукту:
Сфера Бренд. Уменьшение стока по продукту MyDay (90pk) – часть позиций на приемке (приоритезировано) + часть едет в 20 машине – все в в приоритете с доступностью в конце октября
По сфере всего 97 выпавших диоптрий (97 Revenue и 0 FOC). 
Из них 37 диоптрий из категории А (38,14%)
</text>
  </threadedComment>
  <threadedComment ref="HL1" dT="2025-10-24T09:26:01.90" personId="{DDC878C5-42F0-4579-B670-42E3CC72D663}" id="{47F922DF-65C5-4267-9BF5-07869B1F5E45}">
    <text xml:space="preserve">Ухудшение ситуации по продукту:
Сфера ЧМ и ХБ (включая препринт). Уменьшение стока по продукту WB Stenfilcon A 54% 1 Day MD (30pk) – 4 позиции, все в приоритете на приемке – в ближайшее время будут на стоке.
Сфера Бренд. Уменьшение стока по продукту Biofinity XR (3 pk) – 5 позиций, все в приоритете на приемке – в ближайшее время будут на стоке.
Сложные линзы Диагностика. Уменьшение стока по продукту Diag Biofinity Toric (1pk) – позиции на приемке
По сфере всего 121 выпавшая диоптрия (121 Revenue и 0 FOC). 
Из них 48 диоптрий из категории А (39,67%), 
</text>
  </threadedComment>
  <threadedComment ref="HM1" dT="2025-10-30T09:04:09.21" personId="{E45F7787-BA74-424C-8A3A-CFF16909A0A1}" id="{3D62C835-108E-4F8A-ADBE-D622663A0F63}">
    <text xml:space="preserve">Ухудшение ситуации по продукту:
Сложные линзы ЧМ и ХБ (включая препринт). Уменьшение стока по продукту WB Comfilcon A multifocal BF (3 pk)– все позиции на приемке – в течение ноября будут на стоке, не проблема.
Сложные линзы Бренд. Уменьшение стока по продукту Clariti 1 Day multifocal (30pk) – все позиции на приемке – в течение ноября будут на стоке, не проблема.
Сложные линзы Диагностика. Уменьшение стока по продукту Diag Biofinity Toric (1pk) – позиции на приемке
</text>
  </threadedComment>
  <threadedComment ref="HN1" dT="2025-11-06T19:04:45.90" personId="{E45F7787-BA74-424C-8A3A-CFF16909A0A1}" id="{A7FDB394-CAE3-4C89-8453-91B61BFDFED8}">
    <text xml:space="preserve">Сложные линзы ЧМ и ХБ (включая препринт). Уменьшение стока по продукту WB Somofilcon A toric 56% 1 Day (30pk) – все позиции заказаны, часть на приемке 
Сфера Бренд. Уменьшение стока по продукту Clariti 1 Day (30pk)_Bespoke – все позиции на приемке или в транзите – большинство позиций категории С и В
Сложные линзы Бренд. Уменьшение стока по продукту Clariti 1 Day multifocal (30pk) – все позиции на приемке – в течение ноября будут на стоке, не проблема.
Сложные линзы Диагностика. Уменьшение стока по продукту Diag Biofinity Toric (1pk) – позиции на приемке
</text>
  </threadedComment>
  <threadedComment ref="HO1" dT="2025-11-13T14:54:24.38" personId="{DDC878C5-42F0-4579-B670-42E3CC72D663}" id="{C731EF39-E4EA-4646-9173-1B9E9AE01A43}">
    <text xml:space="preserve">Ухудшение ситуации по продукту:
Сфера Диагностика. Уменьшение стока по продукту Diag MiSight 1 Day (5 pk) – выпала 1 позиция категории А – на приемке, поставила в приоритет
Сложные линзы Диагностика. Уменьшение стока по продукту Diag Biofinity Multifocal (1pk) – позиции на приемке
По сфере всего 101 выпавшая диоптрия (100 Revenue и 1 FOC). 
Из них 41 диоптрия из категории А (40,59%), информация по ним ниже:
</text>
  </threadedComment>
  <threadedComment ref="HP1" dT="2025-11-20T13:55:22.01" personId="{DDC878C5-42F0-4579-B670-42E3CC72D663}" id="{83073FD7-3B42-40CF-B3BA-E5412DE909F0}">
    <text xml:space="preserve">Ухудшение ситуации по продукту:
Сфера ЧМ и ХБ (включая препринт) . Уменьшение стока по продукту WB Comfilcon asphere (3pk) – все позиции находятся в приемке из 20 машины – в приоритете.
Сфера Бренд. Уменьшение стока по продукту Biofinity XR (3 pk) – все позиции находятся в приемке из 20 и 21 машин – в приоритете.
Сложные линзы Диагностика. Уменьшение стока по продукту Diag Biofinity Toric (1pk) – позиции на приемке
По сфере всего 97 выпавших диоптрий (97 Revenue и 0 FOC). 
</text>
  </threadedComment>
  <threadedComment ref="HR1" dT="2025-12-04T09:14:04.39" personId="{E45F7787-BA74-424C-8A3A-CFF16909A0A1}" id="{96D6119C-BCC0-443B-BD40-AAC6D8E8B13C}">
    <text>Ухудшение ситуации по продукту:
Сфера Диагностика. Уменьшение стока по продукту Biomedics 55 Evolution (6pk) - позиции категории А, на приемке, в приоритете
Сложные линзы Бренд. Уменьшение стока по продукту Biofinity Toric (3 pk) (new) – позиции на приемке</text>
  </threadedComment>
  <threadedComment ref="HS1" dT="2025-12-11T09:55:31.07" personId="{DDC878C5-42F0-4579-B670-42E3CC72D663}" id="{43DF3A5B-8F57-468C-95E0-8FB9D519AD46}">
    <text xml:space="preserve">Ухудшение ситуации по продукту:
Сложные линзы ЧМ и ХБ (включая препринт). Уменьшение стока по продукту WB Somofilcon A toric 56% 1 Day (30pk) – позиции на приемке, уменьшение незначительное
Сфера Бренд. Уменьшение стока по продукту MyDay (90pk) – преимущественно позиции категории С, все на приемке
Сложные линзы Бренд. Уменьшение стока по продукту Biofinity multifocal (3 pk) – все позиции категории С – все на приемке
Сфера Диагностика. Уменьшение стока по продукту Diag Proclear 1 day (5pk) – позиции заказаны
Сложные линзы Диагностика. Уменьшение стока по продукту Diag Biofinity Toric (1pk) – позиции на приемке
По сфере всего 82 выпавших диоптрий (79 Revenue и 3 FOC). 
Из них 24 диоптрии из категории А (29,27%), информация по ним ниже:
</text>
  </threadedComment>
  <threadedComment ref="HT1" dT="2025-12-11T09:55:31.07" personId="{DDC878C5-42F0-4579-B670-42E3CC72D663}" id="{7FA5AFA4-5C93-427E-A38E-E88A8C4798C6}">
    <text xml:space="preserve">Ухудшение ситуации по продукту:
Сложные линзы ЧМ и ХБ (включая препринт). Уменьшение стока по продукту WB Somofilcon A toric 56% 1 Day (30pk) – позиции на приемке, уменьшение незначительное
Сфера Бренд. Уменьшение стока по продукту MyDay (90pk) – преимущественно позиции категории С, все на приемке
Сложные линзы Бренд. Уменьшение стока по продукту Biofinity multifocal (3 pk) – все позиции категории С – все на приемке
Сфера Диагностика. Уменьшение стока по продукту Diag Proclear 1 day (5pk) – позиции заказаны
Сложные линзы Диагностика. Уменьшение стока по продукту Diag Biofinity Toric (1pk) – позиции на приемке
По сфере всего 82 выпавших диоптрий (79 Revenue и 3 FOC). 
Из них 24 диоптрии из категории А (29,27%), информация по ним ниже:
</text>
  </threadedComment>
  <threadedComment ref="HU1" dT="2026-01-18T14:27:22.17" personId="{DDC878C5-42F0-4579-B670-42E3CC72D663}" id="{8D174BE7-626D-4C41-B7A8-0456B042684A}">
    <text xml:space="preserve">Сравнение с предыдущим отчетом
Ухудшение ситуации по продукту:
Сфера ЧМ и ХБ (включая препринт). Уменьшение стока по продукту Biosoft Premium (3pk) – мы специально оттягивали заказы, так как ждали обновление коробки (PCO), позиции едут в машине 2 – в начале февраля будут на стоке
Сфера Бренд. Уменьшение стока по продукту Proclear 1 day (30pk) – пару позиций выпали в БО. Продукт давно лежит на приемке, не принимали, тк не было места, сейчас обращу внимание на позиции к приемке
Сложные линзы ЧМ и ХБ (включая препринт). Уменьшение стока по продукту WB Comfilcon A toric BF (3pk) – все позиции на приемке, ждут своей очереди
Сложные линзы Бренд. Уменьшение стока по продукту Clariti 1 Day multifocal (30pk) – все позиции на приемке, ждут своей очереди. Поставлю в приоритет на приемку какую-нибудь жирную АСН с продуктом для ориентира
Сфера Диагностика. Уменьшение стока по продукту Diag Proclear 1 day (5pk) – позиции в транзите, в феврале будут на стоке
Сложные линзы Диагностика. Уменьшение стока по продукту Diag Biofinity Toric (1pk) – все позиции на приемке, преимущественно категория С
По сфере всего 72 выпавших диоптрий (67 Revenue и 5 FOC). 
Из них 13 диоптрий из категории А (18,1%)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392AC-6064-4BE0-BCC0-013553C58C52}">
  <dimension ref="A2:AJ146"/>
  <sheetViews>
    <sheetView showGridLines="0" tabSelected="1" zoomScaleNormal="100" workbookViewId="0">
      <pane ySplit="3" topLeftCell="A4" activePane="bottomLeft" state="frozen"/>
      <selection pane="bottomLeft" activeCell="W22" sqref="W22"/>
    </sheetView>
  </sheetViews>
  <sheetFormatPr defaultRowHeight="14.4"/>
  <cols>
    <col min="1" max="1" width="4.88671875" customWidth="1"/>
    <col min="8" max="8" width="4.109375" customWidth="1"/>
    <col min="15" max="15" width="4" customWidth="1"/>
    <col min="17" max="17" width="8.88671875" customWidth="1"/>
    <col min="21" max="21" width="9.88671875" customWidth="1"/>
    <col min="22" max="22" width="21.88671875" customWidth="1"/>
  </cols>
  <sheetData>
    <row r="2" spans="1:36" ht="25.8">
      <c r="B2" s="3" t="s">
        <v>0</v>
      </c>
      <c r="C2" s="12" t="s">
        <v>169</v>
      </c>
      <c r="D2" s="2"/>
      <c r="E2" s="2"/>
      <c r="F2" s="12" t="s">
        <v>19</v>
      </c>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row>
    <row r="3" spans="1:36">
      <c r="C3" t="s">
        <v>95</v>
      </c>
    </row>
    <row r="4" spans="1:36">
      <c r="B4" s="14" t="s">
        <v>18</v>
      </c>
      <c r="C4" s="15"/>
      <c r="D4" s="15"/>
      <c r="E4" s="15"/>
      <c r="F4" s="15"/>
      <c r="G4" s="15"/>
      <c r="H4" s="15"/>
      <c r="I4" s="15"/>
      <c r="J4" s="15"/>
      <c r="K4" s="15"/>
      <c r="L4" s="15"/>
      <c r="M4" s="15"/>
      <c r="N4" s="15"/>
      <c r="O4" s="15"/>
      <c r="P4" s="15"/>
      <c r="Q4" s="15"/>
      <c r="R4" s="15"/>
      <c r="S4" s="15"/>
      <c r="T4" s="15"/>
      <c r="U4" s="15"/>
      <c r="V4" s="15"/>
    </row>
    <row r="6" spans="1:36" ht="18">
      <c r="F6" s="59" t="s">
        <v>170</v>
      </c>
      <c r="I6" s="18"/>
    </row>
    <row r="7" spans="1:36" ht="18">
      <c r="F7" s="18" t="s">
        <v>171</v>
      </c>
    </row>
    <row r="8" spans="1:36" ht="17.399999999999999" customHeight="1">
      <c r="F8" s="59" t="s">
        <v>172</v>
      </c>
      <c r="L8" s="18"/>
    </row>
    <row r="9" spans="1:36" ht="18">
      <c r="F9" s="59" t="s">
        <v>173</v>
      </c>
      <c r="I9" s="18"/>
      <c r="L9" s="18"/>
    </row>
    <row r="10" spans="1:36" ht="18">
      <c r="F10" s="59"/>
      <c r="I10" s="18"/>
      <c r="L10" s="18"/>
    </row>
    <row r="12" spans="1:36">
      <c r="B12" s="3" t="s">
        <v>20</v>
      </c>
      <c r="C12" s="2"/>
      <c r="D12" s="2"/>
      <c r="E12" s="2"/>
      <c r="F12" s="2"/>
      <c r="G12" s="2"/>
      <c r="H12" s="2"/>
      <c r="I12" s="2"/>
      <c r="J12" s="2"/>
      <c r="K12" s="2"/>
      <c r="L12" s="2"/>
      <c r="M12" s="2"/>
      <c r="N12" s="2"/>
      <c r="O12" s="2"/>
      <c r="P12" s="2"/>
      <c r="Q12" s="2"/>
      <c r="R12" s="2"/>
      <c r="S12" s="2"/>
      <c r="T12" s="2"/>
      <c r="U12" s="2"/>
      <c r="V12" s="2"/>
    </row>
    <row r="14" spans="1:36" s="62" customFormat="1">
      <c r="A14" s="73" t="s">
        <v>104</v>
      </c>
      <c r="B14" s="60" t="s">
        <v>68</v>
      </c>
      <c r="C14" s="60"/>
      <c r="D14" s="61"/>
      <c r="E14" s="61"/>
      <c r="F14" s="60"/>
      <c r="G14" s="60"/>
      <c r="H14" s="73" t="s">
        <v>104</v>
      </c>
      <c r="I14" s="60" t="s">
        <v>69</v>
      </c>
      <c r="J14" s="60"/>
      <c r="K14" s="60"/>
      <c r="L14" s="60"/>
      <c r="M14" s="60"/>
      <c r="N14" s="60"/>
      <c r="O14" s="73" t="s">
        <v>104</v>
      </c>
      <c r="P14" s="60" t="s">
        <v>98</v>
      </c>
      <c r="Q14" s="60"/>
      <c r="R14" s="60"/>
      <c r="S14" s="60"/>
      <c r="T14" s="60"/>
      <c r="U14" s="60"/>
    </row>
    <row r="20" spans="1:22">
      <c r="V20" s="57"/>
    </row>
    <row r="26" spans="1:22" s="75" customFormat="1">
      <c r="A26" s="73" t="s">
        <v>104</v>
      </c>
      <c r="B26" s="74" t="s">
        <v>99</v>
      </c>
      <c r="C26" s="74"/>
      <c r="D26" s="74"/>
      <c r="E26" s="74"/>
      <c r="F26" s="74"/>
      <c r="G26" s="74"/>
      <c r="I26" s="74" t="s">
        <v>100</v>
      </c>
      <c r="J26" s="74"/>
      <c r="K26" s="74"/>
      <c r="L26" s="74"/>
      <c r="M26" s="74"/>
      <c r="N26" s="74"/>
      <c r="P26" s="74" t="s">
        <v>101</v>
      </c>
      <c r="Q26" s="74"/>
      <c r="R26" s="74"/>
      <c r="S26" s="74"/>
      <c r="T26" s="74"/>
      <c r="U26" s="74"/>
    </row>
    <row r="41" spans="1:28" s="75" customFormat="1">
      <c r="A41" s="73" t="s">
        <v>104</v>
      </c>
      <c r="B41" s="74" t="s">
        <v>29</v>
      </c>
      <c r="C41" s="74"/>
      <c r="D41" s="74"/>
      <c r="E41" s="74"/>
      <c r="F41" s="74"/>
      <c r="G41" s="74"/>
      <c r="I41" s="74" t="s">
        <v>70</v>
      </c>
      <c r="J41" s="74"/>
      <c r="K41" s="74"/>
      <c r="L41" s="74"/>
      <c r="M41" s="74"/>
      <c r="N41" s="74"/>
      <c r="O41" s="73" t="s">
        <v>104</v>
      </c>
      <c r="P41" s="74" t="s">
        <v>113</v>
      </c>
      <c r="Q41" s="74"/>
      <c r="R41" s="74"/>
      <c r="S41" s="74"/>
      <c r="T41" s="74"/>
      <c r="U41" s="74"/>
      <c r="W41" s="96" t="s">
        <v>152</v>
      </c>
      <c r="X41" s="96"/>
      <c r="Y41" s="96"/>
      <c r="Z41" s="96"/>
      <c r="AA41" s="96"/>
      <c r="AB41" s="96"/>
    </row>
    <row r="48" spans="1:28">
      <c r="V48" s="83"/>
    </row>
    <row r="57" spans="1:23" s="64" customFormat="1" ht="15">
      <c r="A57" s="72"/>
      <c r="B57" s="63" t="s">
        <v>22</v>
      </c>
      <c r="C57" s="63"/>
      <c r="D57" s="63"/>
      <c r="E57" s="63"/>
      <c r="F57" s="63"/>
      <c r="G57" s="63"/>
      <c r="H57" s="72"/>
      <c r="I57" s="63" t="s">
        <v>21</v>
      </c>
      <c r="J57" s="63"/>
      <c r="K57" s="63"/>
      <c r="L57" s="63"/>
      <c r="M57" s="63"/>
      <c r="N57" s="63"/>
      <c r="O57" s="72"/>
      <c r="P57" s="63" t="s">
        <v>71</v>
      </c>
      <c r="Q57" s="63"/>
      <c r="R57" s="63"/>
      <c r="S57" s="63"/>
      <c r="T57" s="63"/>
      <c r="U57" s="63"/>
    </row>
    <row r="61" spans="1:23">
      <c r="W61" s="56"/>
    </row>
    <row r="69" spans="1:21" s="64" customFormat="1" ht="15">
      <c r="B69" s="63" t="s">
        <v>2</v>
      </c>
      <c r="C69" s="63"/>
      <c r="D69" s="63"/>
      <c r="E69" s="63"/>
      <c r="F69" s="63"/>
      <c r="G69" s="63"/>
      <c r="I69" s="63" t="s">
        <v>1</v>
      </c>
      <c r="J69" s="63"/>
      <c r="K69" s="63"/>
      <c r="L69" s="63"/>
      <c r="M69" s="63"/>
      <c r="N69" s="63"/>
      <c r="O69" s="72" t="s">
        <v>104</v>
      </c>
      <c r="P69" s="63" t="s">
        <v>125</v>
      </c>
      <c r="Q69" s="63"/>
      <c r="R69" s="63"/>
      <c r="S69" s="63"/>
      <c r="T69" s="63"/>
      <c r="U69" s="63"/>
    </row>
    <row r="80" spans="1:21" s="64" customFormat="1" ht="15">
      <c r="A80" s="72" t="s">
        <v>104</v>
      </c>
      <c r="B80" s="63" t="s">
        <v>105</v>
      </c>
      <c r="C80" s="63"/>
      <c r="D80" s="63"/>
      <c r="E80" s="63"/>
      <c r="F80" s="63"/>
      <c r="G80" s="63"/>
    </row>
    <row r="81" spans="2:22">
      <c r="I81" s="64"/>
    </row>
    <row r="92" spans="2:22">
      <c r="B92" s="13" t="s">
        <v>3</v>
      </c>
      <c r="C92" s="13"/>
      <c r="D92" s="13"/>
      <c r="E92" s="13"/>
      <c r="F92" s="13"/>
      <c r="G92" s="13"/>
      <c r="I92" s="13" t="s">
        <v>28</v>
      </c>
      <c r="J92" s="13"/>
      <c r="K92" s="13"/>
      <c r="L92" s="13"/>
      <c r="M92" s="13"/>
      <c r="N92" s="13"/>
      <c r="P92" s="13" t="s">
        <v>72</v>
      </c>
      <c r="Q92" s="13"/>
      <c r="R92" s="13"/>
      <c r="S92" s="13"/>
      <c r="T92" s="13"/>
      <c r="U92" s="13"/>
    </row>
    <row r="93" spans="2:22">
      <c r="V93" s="58" t="s">
        <v>94</v>
      </c>
    </row>
    <row r="103" spans="1:7" ht="15">
      <c r="A103" s="72" t="s">
        <v>104</v>
      </c>
      <c r="B103" s="13" t="s">
        <v>25</v>
      </c>
      <c r="C103" s="13"/>
      <c r="D103" s="13"/>
      <c r="E103" s="13"/>
      <c r="F103" s="13"/>
      <c r="G103" s="13"/>
    </row>
    <row r="117" spans="2:35">
      <c r="B117" s="20" t="s">
        <v>34</v>
      </c>
      <c r="C117" s="21"/>
      <c r="D117" s="21"/>
      <c r="E117" s="21"/>
      <c r="F117" s="21"/>
      <c r="G117" s="21"/>
      <c r="H117" s="21"/>
      <c r="I117" s="21"/>
      <c r="J117" s="21"/>
      <c r="K117" s="21"/>
      <c r="L117" s="21"/>
      <c r="M117" s="21"/>
      <c r="N117" s="21"/>
      <c r="O117" s="21"/>
      <c r="P117" s="21"/>
      <c r="Q117" s="21"/>
      <c r="R117" s="21"/>
      <c r="S117" s="21"/>
      <c r="T117" s="21"/>
      <c r="U117" s="21"/>
      <c r="V117" s="21"/>
    </row>
    <row r="118" spans="2:35">
      <c r="B118" s="19"/>
      <c r="C118" s="19"/>
      <c r="D118" s="19"/>
      <c r="E118" s="19"/>
      <c r="F118" s="19"/>
      <c r="G118" s="19"/>
      <c r="H118" s="19"/>
      <c r="I118" s="19"/>
      <c r="J118" s="19"/>
      <c r="K118" s="19"/>
      <c r="L118" s="19"/>
      <c r="M118" s="19"/>
      <c r="N118" s="19"/>
      <c r="O118" s="19"/>
      <c r="P118" s="19"/>
      <c r="Q118" s="19"/>
      <c r="R118" s="19"/>
      <c r="S118" s="19"/>
      <c r="T118" s="19"/>
      <c r="U118" s="19"/>
      <c r="V118" s="19"/>
    </row>
    <row r="119" spans="2:35" s="43" customFormat="1">
      <c r="B119" s="90" t="s">
        <v>140</v>
      </c>
      <c r="C119" s="90"/>
      <c r="D119" s="90"/>
      <c r="E119" s="90"/>
      <c r="F119" s="90"/>
      <c r="G119" s="90"/>
      <c r="H119" s="94"/>
      <c r="I119" s="90" t="s">
        <v>138</v>
      </c>
      <c r="J119" s="90"/>
      <c r="K119" s="90"/>
      <c r="L119" s="90"/>
      <c r="M119" s="90"/>
      <c r="N119" s="90"/>
      <c r="P119" s="90" t="s">
        <v>120</v>
      </c>
      <c r="Q119" s="90"/>
      <c r="R119" s="90"/>
      <c r="S119" s="90"/>
      <c r="T119" s="90"/>
      <c r="U119" s="90"/>
      <c r="V119" s="84"/>
    </row>
    <row r="120" spans="2:35" s="43" customFormat="1" ht="120" customHeight="1">
      <c r="B120" s="126" t="s">
        <v>161</v>
      </c>
      <c r="C120" s="127"/>
      <c r="D120" s="127"/>
      <c r="E120" s="127"/>
      <c r="F120" s="127"/>
      <c r="G120" s="127"/>
      <c r="H120" s="94"/>
      <c r="I120" s="123" t="s">
        <v>162</v>
      </c>
      <c r="J120" s="123"/>
      <c r="K120" s="123"/>
      <c r="L120" s="123"/>
      <c r="M120" s="123"/>
      <c r="N120" s="123"/>
      <c r="P120" s="125" t="s">
        <v>163</v>
      </c>
      <c r="Q120" s="126"/>
      <c r="R120" s="126"/>
      <c r="S120" s="126"/>
      <c r="T120" s="126"/>
      <c r="U120" s="126"/>
      <c r="V120" s="84"/>
      <c r="W120" s="124"/>
      <c r="X120" s="124"/>
      <c r="Y120" s="124"/>
      <c r="Z120" s="124"/>
      <c r="AA120" s="124"/>
      <c r="AB120" s="124"/>
      <c r="AD120" s="124"/>
      <c r="AE120" s="124"/>
      <c r="AF120" s="124"/>
      <c r="AG120" s="124"/>
      <c r="AH120" s="124"/>
      <c r="AI120" s="124"/>
    </row>
    <row r="121" spans="2:35" s="43" customFormat="1"/>
    <row r="122" spans="2:35" s="43" customFormat="1">
      <c r="B122" s="90" t="s">
        <v>148</v>
      </c>
      <c r="C122" s="90"/>
      <c r="D122" s="90"/>
      <c r="E122" s="90"/>
      <c r="F122" s="90"/>
      <c r="G122" s="90"/>
      <c r="I122" s="90" t="s">
        <v>164</v>
      </c>
      <c r="J122" s="88"/>
      <c r="K122" s="88"/>
      <c r="L122" s="88"/>
      <c r="M122" s="88"/>
      <c r="N122" s="88"/>
      <c r="P122" s="88" t="s">
        <v>141</v>
      </c>
      <c r="Q122" s="88"/>
      <c r="R122" s="88"/>
      <c r="S122" s="88"/>
      <c r="T122" s="88"/>
      <c r="U122" s="88"/>
      <c r="V122" s="84"/>
    </row>
    <row r="123" spans="2:35" s="84" customFormat="1" ht="95.4" customHeight="1">
      <c r="B123" s="123" t="s">
        <v>149</v>
      </c>
      <c r="C123" s="123"/>
      <c r="D123" s="123"/>
      <c r="E123" s="123"/>
      <c r="F123" s="123"/>
      <c r="G123" s="123"/>
      <c r="I123" s="123" t="s">
        <v>165</v>
      </c>
      <c r="J123" s="123"/>
      <c r="K123" s="123"/>
      <c r="L123" s="123"/>
      <c r="M123" s="123"/>
      <c r="N123" s="123"/>
      <c r="P123" s="128" t="s">
        <v>142</v>
      </c>
      <c r="Q123" s="128"/>
      <c r="R123" s="128"/>
      <c r="S123" s="128"/>
      <c r="T123" s="128"/>
      <c r="U123" s="128"/>
    </row>
    <row r="124" spans="2:35" s="43" customFormat="1"/>
    <row r="125" spans="2:35" s="43" customFormat="1">
      <c r="B125" s="90" t="s">
        <v>139</v>
      </c>
      <c r="C125" s="88"/>
      <c r="D125" s="88"/>
      <c r="E125" s="88"/>
      <c r="F125" s="88"/>
      <c r="G125" s="88"/>
      <c r="I125" s="90" t="s">
        <v>132</v>
      </c>
      <c r="J125" s="90"/>
      <c r="K125" s="90"/>
      <c r="L125" s="90"/>
      <c r="M125" s="90"/>
      <c r="N125" s="90"/>
      <c r="P125" s="90" t="s">
        <v>143</v>
      </c>
      <c r="Q125" s="88"/>
      <c r="R125" s="88"/>
      <c r="S125" s="88"/>
      <c r="T125" s="88"/>
      <c r="U125" s="88"/>
      <c r="V125" s="84"/>
    </row>
    <row r="126" spans="2:35" s="43" customFormat="1" ht="91.8" customHeight="1">
      <c r="B126" s="123" t="s">
        <v>168</v>
      </c>
      <c r="C126" s="123"/>
      <c r="D126" s="123"/>
      <c r="E126" s="123"/>
      <c r="F126" s="123"/>
      <c r="G126" s="123"/>
      <c r="I126" s="123" t="s">
        <v>133</v>
      </c>
      <c r="J126" s="123"/>
      <c r="K126" s="123"/>
      <c r="L126" s="123"/>
      <c r="M126" s="123"/>
      <c r="N126" s="123"/>
      <c r="P126" s="123" t="s">
        <v>166</v>
      </c>
      <c r="Q126" s="123"/>
      <c r="R126" s="123"/>
      <c r="S126" s="123"/>
      <c r="T126" s="123"/>
      <c r="U126" s="123"/>
    </row>
    <row r="127" spans="2:35" s="43" customFormat="1"/>
    <row r="128" spans="2:35" s="43" customFormat="1">
      <c r="B128" s="85" t="s">
        <v>26</v>
      </c>
      <c r="C128" s="86"/>
      <c r="D128" s="86"/>
      <c r="E128" s="86"/>
      <c r="F128" s="86"/>
      <c r="G128" s="86"/>
      <c r="H128" s="86"/>
      <c r="I128" s="86"/>
      <c r="J128" s="86"/>
      <c r="K128" s="86"/>
      <c r="L128" s="86"/>
      <c r="M128" s="86"/>
      <c r="N128" s="86"/>
      <c r="O128" s="86"/>
      <c r="P128" s="86"/>
      <c r="Q128" s="86"/>
      <c r="R128" s="86"/>
      <c r="S128" s="86"/>
      <c r="T128" s="86"/>
      <c r="U128" s="86"/>
      <c r="V128" s="86"/>
    </row>
    <row r="129" spans="2:22" s="43" customFormat="1"/>
    <row r="130" spans="2:22" s="43" customFormat="1" ht="14.4" customHeight="1">
      <c r="B130" s="87" t="s">
        <v>128</v>
      </c>
      <c r="C130" s="87"/>
      <c r="D130" s="87"/>
      <c r="E130" s="87"/>
      <c r="F130" s="87"/>
      <c r="G130" s="87"/>
      <c r="I130" s="87" t="s">
        <v>111</v>
      </c>
      <c r="J130" s="87"/>
      <c r="K130" s="87"/>
      <c r="L130" s="87"/>
      <c r="M130" s="87"/>
      <c r="N130" s="87"/>
      <c r="P130" s="88" t="s">
        <v>131</v>
      </c>
      <c r="Q130" s="88"/>
      <c r="R130" s="88"/>
      <c r="S130" s="88"/>
      <c r="T130" s="88"/>
      <c r="U130" s="88"/>
      <c r="V130" s="84"/>
    </row>
    <row r="131" spans="2:22" s="84" customFormat="1" ht="74.099999999999994" customHeight="1">
      <c r="B131" s="124" t="s">
        <v>145</v>
      </c>
      <c r="C131" s="129"/>
      <c r="D131" s="124" t="s">
        <v>144</v>
      </c>
      <c r="E131" s="124"/>
      <c r="F131" s="124"/>
      <c r="G131" s="124"/>
      <c r="I131" s="124" t="s">
        <v>145</v>
      </c>
      <c r="J131" s="129"/>
      <c r="K131" s="124" t="s">
        <v>146</v>
      </c>
      <c r="L131" s="124"/>
      <c r="M131" s="124"/>
      <c r="N131" s="124"/>
      <c r="P131" s="124" t="s">
        <v>127</v>
      </c>
      <c r="Q131" s="129"/>
      <c r="R131" s="124" t="s">
        <v>147</v>
      </c>
      <c r="S131" s="124"/>
      <c r="T131" s="124"/>
      <c r="U131" s="124"/>
    </row>
    <row r="132" spans="2:22" s="43" customFormat="1">
      <c r="K132" s="132"/>
      <c r="L132" s="132"/>
      <c r="M132" s="132"/>
      <c r="N132" s="132"/>
    </row>
    <row r="133" spans="2:22" s="43" customFormat="1" ht="14.4" customHeight="1"/>
    <row r="134" spans="2:22" s="43" customFormat="1">
      <c r="B134" s="87" t="s">
        <v>129</v>
      </c>
      <c r="C134" s="87"/>
      <c r="D134" s="87"/>
      <c r="E134" s="87"/>
      <c r="F134" s="87"/>
      <c r="G134" s="87"/>
      <c r="I134" s="87" t="s">
        <v>126</v>
      </c>
      <c r="J134" s="87"/>
      <c r="K134" s="87"/>
      <c r="L134" s="87"/>
      <c r="M134" s="87"/>
      <c r="N134" s="87"/>
      <c r="P134" s="88" t="s">
        <v>121</v>
      </c>
      <c r="Q134" s="88"/>
      <c r="R134" s="88"/>
      <c r="S134" s="88"/>
      <c r="T134" s="88"/>
      <c r="U134" s="88"/>
    </row>
    <row r="135" spans="2:22" s="43" customFormat="1" ht="50.4" customHeight="1">
      <c r="B135" s="124" t="s">
        <v>127</v>
      </c>
      <c r="C135" s="129"/>
      <c r="D135" s="124" t="s">
        <v>130</v>
      </c>
      <c r="E135" s="124"/>
      <c r="F135" s="124"/>
      <c r="G135" s="124"/>
      <c r="I135" s="124" t="s">
        <v>127</v>
      </c>
      <c r="J135" s="129"/>
      <c r="K135" s="124" t="s">
        <v>167</v>
      </c>
      <c r="L135" s="124"/>
      <c r="M135" s="124"/>
      <c r="N135" s="124"/>
      <c r="P135" s="124" t="s">
        <v>127</v>
      </c>
      <c r="Q135" s="129"/>
      <c r="R135" s="124" t="s">
        <v>122</v>
      </c>
      <c r="S135" s="124"/>
      <c r="T135" s="124"/>
      <c r="U135" s="124"/>
    </row>
    <row r="136" spans="2:22" s="43" customFormat="1" ht="14.25" customHeight="1"/>
    <row r="137" spans="2:22" s="43" customFormat="1"/>
    <row r="138" spans="2:22" s="43" customFormat="1">
      <c r="B138" s="90" t="s">
        <v>150</v>
      </c>
      <c r="C138" s="90"/>
      <c r="D138" s="90"/>
      <c r="E138" s="90"/>
      <c r="F138" s="90"/>
      <c r="G138" s="90"/>
      <c r="I138" s="90"/>
      <c r="J138" s="90"/>
      <c r="K138" s="90"/>
      <c r="L138" s="90"/>
      <c r="M138" s="90"/>
      <c r="N138" s="90"/>
      <c r="P138" s="87"/>
      <c r="Q138" s="87"/>
      <c r="R138" s="87"/>
      <c r="S138" s="87"/>
      <c r="T138" s="87"/>
      <c r="U138" s="87"/>
      <c r="V138" s="84"/>
    </row>
    <row r="139" spans="2:22" s="43" customFormat="1" ht="57" customHeight="1">
      <c r="B139" s="130"/>
      <c r="C139" s="131"/>
      <c r="D139" s="130" t="s">
        <v>151</v>
      </c>
      <c r="E139" s="130"/>
      <c r="F139" s="130"/>
      <c r="G139" s="130"/>
      <c r="I139" s="130"/>
      <c r="J139" s="131"/>
      <c r="K139" s="130"/>
      <c r="L139" s="130"/>
      <c r="M139" s="130"/>
      <c r="N139" s="130"/>
      <c r="P139" s="124"/>
      <c r="Q139" s="129"/>
      <c r="R139" s="124"/>
      <c r="S139" s="124"/>
      <c r="T139" s="124"/>
      <c r="U139" s="124"/>
    </row>
    <row r="140" spans="2:22" s="43" customFormat="1"/>
    <row r="141" spans="2:22" s="43" customFormat="1"/>
    <row r="142" spans="2:22" s="43" customFormat="1">
      <c r="B142" s="87"/>
      <c r="C142" s="87"/>
      <c r="D142" s="87"/>
      <c r="E142" s="87"/>
      <c r="F142" s="87"/>
      <c r="G142" s="87"/>
      <c r="H142" s="94"/>
      <c r="I142" s="90"/>
      <c r="J142" s="90"/>
      <c r="K142" s="90"/>
      <c r="L142" s="90"/>
      <c r="M142" s="90"/>
      <c r="N142" s="90"/>
      <c r="P142" s="88"/>
      <c r="Q142" s="88"/>
      <c r="R142" s="88"/>
      <c r="S142" s="88"/>
      <c r="T142" s="88"/>
      <c r="U142" s="88"/>
      <c r="V142" s="84"/>
    </row>
    <row r="143" spans="2:22" s="43" customFormat="1" ht="57" customHeight="1">
      <c r="B143" s="124"/>
      <c r="C143" s="129"/>
      <c r="D143" s="124"/>
      <c r="E143" s="124"/>
      <c r="F143" s="124"/>
      <c r="G143" s="124"/>
      <c r="H143" s="94"/>
      <c r="I143" s="130"/>
      <c r="J143" s="131"/>
      <c r="K143" s="130"/>
      <c r="L143" s="130"/>
      <c r="M143" s="130"/>
      <c r="N143" s="130"/>
      <c r="P143" s="124"/>
      <c r="Q143" s="129"/>
      <c r="R143" s="133"/>
      <c r="S143" s="124"/>
      <c r="T143" s="124"/>
      <c r="U143" s="124"/>
    </row>
    <row r="144" spans="2:22" s="43" customFormat="1"/>
    <row r="145" spans="2:22" s="43" customFormat="1">
      <c r="B145" s="87"/>
      <c r="C145" s="87"/>
      <c r="D145" s="87"/>
      <c r="E145" s="87"/>
      <c r="F145" s="87"/>
      <c r="G145" s="87"/>
      <c r="I145" s="88"/>
      <c r="J145" s="88"/>
      <c r="K145" s="88"/>
      <c r="L145" s="88"/>
      <c r="M145" s="88"/>
      <c r="N145" s="88"/>
      <c r="P145" s="87"/>
      <c r="Q145" s="87"/>
      <c r="R145" s="87"/>
      <c r="S145" s="87"/>
      <c r="T145" s="87"/>
      <c r="U145" s="87"/>
      <c r="V145" s="84"/>
    </row>
    <row r="146" spans="2:22" s="43" customFormat="1" ht="66.599999999999994" customHeight="1">
      <c r="B146" s="124"/>
      <c r="C146" s="129"/>
      <c r="D146" s="124"/>
      <c r="E146" s="124"/>
      <c r="F146" s="124"/>
      <c r="G146" s="124"/>
      <c r="I146" s="124"/>
      <c r="J146" s="129"/>
      <c r="K146" s="133"/>
      <c r="L146" s="124"/>
      <c r="M146" s="124"/>
      <c r="N146" s="124"/>
      <c r="P146" s="124"/>
      <c r="Q146" s="129"/>
      <c r="R146" s="124"/>
      <c r="S146" s="124"/>
      <c r="T146" s="124"/>
      <c r="U146" s="124"/>
    </row>
  </sheetData>
  <mergeCells count="42">
    <mergeCell ref="R146:U146"/>
    <mergeCell ref="B146:C146"/>
    <mergeCell ref="D146:G146"/>
    <mergeCell ref="I146:J146"/>
    <mergeCell ref="K146:N146"/>
    <mergeCell ref="P146:Q146"/>
    <mergeCell ref="P131:Q131"/>
    <mergeCell ref="R131:U131"/>
    <mergeCell ref="R135:U135"/>
    <mergeCell ref="I143:J143"/>
    <mergeCell ref="K143:N143"/>
    <mergeCell ref="P143:Q143"/>
    <mergeCell ref="P135:Q135"/>
    <mergeCell ref="K139:N139"/>
    <mergeCell ref="P139:Q139"/>
    <mergeCell ref="R139:U139"/>
    <mergeCell ref="R143:U143"/>
    <mergeCell ref="B143:C143"/>
    <mergeCell ref="D143:G143"/>
    <mergeCell ref="I139:J139"/>
    <mergeCell ref="I131:J131"/>
    <mergeCell ref="K131:N131"/>
    <mergeCell ref="B135:C135"/>
    <mergeCell ref="D135:G135"/>
    <mergeCell ref="B131:C131"/>
    <mergeCell ref="D131:G131"/>
    <mergeCell ref="K132:N132"/>
    <mergeCell ref="I135:J135"/>
    <mergeCell ref="K135:N135"/>
    <mergeCell ref="B139:C139"/>
    <mergeCell ref="D139:G139"/>
    <mergeCell ref="W120:AB120"/>
    <mergeCell ref="AD120:AI120"/>
    <mergeCell ref="P120:U120"/>
    <mergeCell ref="B120:G120"/>
    <mergeCell ref="P123:U123"/>
    <mergeCell ref="I126:N126"/>
    <mergeCell ref="I120:N120"/>
    <mergeCell ref="I123:N123"/>
    <mergeCell ref="P126:U126"/>
    <mergeCell ref="B126:G126"/>
    <mergeCell ref="B123:G12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DBAA5-9991-4417-8C6C-E985B9DAA390}">
  <dimension ref="A1:AE73"/>
  <sheetViews>
    <sheetView showGridLines="0" zoomScaleNormal="100" workbookViewId="0">
      <pane xSplit="2" ySplit="2" topLeftCell="C6" activePane="bottomRight" state="frozen"/>
      <selection pane="topRight" activeCell="C1" sqref="C1"/>
      <selection pane="bottomLeft" activeCell="A3" sqref="A3"/>
      <selection pane="bottomRight" activeCell="AC29" sqref="AC29"/>
    </sheetView>
  </sheetViews>
  <sheetFormatPr defaultRowHeight="14.4"/>
  <cols>
    <col min="1" max="1" width="9.109375" style="38"/>
    <col min="2" max="2" width="58.5546875" customWidth="1"/>
    <col min="3" max="3" width="8" customWidth="1"/>
    <col min="4" max="4" width="8.5546875" customWidth="1"/>
    <col min="5" max="5" width="13.88671875" customWidth="1"/>
    <col min="6" max="6" width="8.109375" customWidth="1"/>
    <col min="7" max="9" width="12.44140625" customWidth="1"/>
    <col min="10" max="13" width="12.44140625" bestFit="1" customWidth="1"/>
    <col min="14" max="14" width="12.44140625" style="43" bestFit="1" customWidth="1"/>
    <col min="15" max="15" width="11.44140625" style="43" bestFit="1" customWidth="1"/>
    <col min="16" max="16" width="9.88671875" style="43" bestFit="1" customWidth="1"/>
    <col min="17" max="17" width="11" style="43" bestFit="1" customWidth="1"/>
    <col min="18" max="18" width="12.44140625" style="43" bestFit="1" customWidth="1"/>
    <col min="19" max="19" width="11.5546875" style="43" customWidth="1"/>
    <col min="20" max="22" width="9.109375" style="43"/>
    <col min="23" max="23" width="8.5546875" style="43"/>
    <col min="24" max="27" width="9.109375" style="43"/>
  </cols>
  <sheetData>
    <row r="1" spans="1:27" ht="15" thickBot="1">
      <c r="C1" s="53" t="s">
        <v>81</v>
      </c>
      <c r="D1" s="53"/>
      <c r="E1" s="53"/>
      <c r="F1" s="53"/>
      <c r="G1" s="53"/>
      <c r="H1" s="53"/>
      <c r="I1" s="53"/>
      <c r="J1" s="53"/>
      <c r="K1" s="53"/>
      <c r="L1" s="53"/>
      <c r="M1" s="53"/>
      <c r="N1" s="54"/>
      <c r="O1" s="54"/>
      <c r="P1" s="54"/>
      <c r="Q1" s="54"/>
      <c r="R1" s="54"/>
      <c r="S1" s="54"/>
      <c r="T1" s="54"/>
      <c r="U1" s="54"/>
      <c r="V1" s="54"/>
      <c r="W1" s="54"/>
      <c r="X1" s="54"/>
      <c r="Y1" s="54"/>
      <c r="Z1" s="54"/>
    </row>
    <row r="2" spans="1:27" ht="15.6">
      <c r="B2" s="1" t="s">
        <v>4</v>
      </c>
      <c r="C2" s="4" t="s">
        <v>62</v>
      </c>
      <c r="D2" s="4" t="s">
        <v>63</v>
      </c>
      <c r="E2" s="4" t="s">
        <v>77</v>
      </c>
      <c r="F2" s="4" t="s">
        <v>12</v>
      </c>
      <c r="G2" s="4" t="s">
        <v>5</v>
      </c>
      <c r="H2" s="4" t="s">
        <v>6</v>
      </c>
      <c r="I2" s="4" t="s">
        <v>7</v>
      </c>
      <c r="J2" s="4" t="s">
        <v>8</v>
      </c>
      <c r="K2" s="4" t="s">
        <v>9</v>
      </c>
      <c r="L2" s="4" t="s">
        <v>10</v>
      </c>
      <c r="M2" s="4" t="s">
        <v>11</v>
      </c>
      <c r="N2" s="4" t="s">
        <v>59</v>
      </c>
      <c r="O2" s="4" t="s">
        <v>62</v>
      </c>
      <c r="P2" s="4" t="s">
        <v>63</v>
      </c>
      <c r="Q2" s="4" t="s">
        <v>77</v>
      </c>
      <c r="R2" s="4" t="s">
        <v>12</v>
      </c>
      <c r="S2" s="4" t="s">
        <v>5</v>
      </c>
      <c r="T2" s="4" t="s">
        <v>6</v>
      </c>
      <c r="U2" s="4" t="s">
        <v>7</v>
      </c>
      <c r="V2" s="4" t="s">
        <v>8</v>
      </c>
      <c r="W2" s="4" t="s">
        <v>9</v>
      </c>
      <c r="X2" s="4" t="s">
        <v>10</v>
      </c>
      <c r="Y2" s="4" t="s">
        <v>11</v>
      </c>
      <c r="Z2" s="4" t="s">
        <v>59</v>
      </c>
      <c r="AA2" s="4" t="s">
        <v>62</v>
      </c>
    </row>
    <row r="3" spans="1:27">
      <c r="A3" s="39" t="s">
        <v>97</v>
      </c>
      <c r="B3" s="5" t="s">
        <v>35</v>
      </c>
      <c r="C3" s="6">
        <v>5.3</v>
      </c>
      <c r="D3" s="6">
        <v>5.5</v>
      </c>
      <c r="E3" s="6">
        <v>5.1663463021374962</v>
      </c>
      <c r="F3" s="6">
        <v>4.5</v>
      </c>
      <c r="G3" s="6">
        <v>4.5</v>
      </c>
      <c r="H3" s="6">
        <v>4.5</v>
      </c>
      <c r="I3" s="6">
        <v>4.4000000000000004</v>
      </c>
      <c r="J3" s="6">
        <v>5.6</v>
      </c>
      <c r="K3" s="6">
        <v>6.2</v>
      </c>
      <c r="L3" s="6">
        <v>4.5643509846704271</v>
      </c>
      <c r="M3" s="6">
        <v>5.5046967730416689</v>
      </c>
      <c r="N3" s="6">
        <v>5.1829711373408971</v>
      </c>
      <c r="O3" s="6">
        <v>4.3498253867521939</v>
      </c>
      <c r="P3" s="6">
        <v>5.1123806254673845</v>
      </c>
      <c r="Q3" s="6">
        <v>4.5952755930055771</v>
      </c>
      <c r="R3" s="6">
        <v>3.9</v>
      </c>
      <c r="S3" s="6">
        <v>4.0999999999999996</v>
      </c>
      <c r="T3" s="6">
        <v>4.277947494168056</v>
      </c>
      <c r="U3" s="6">
        <v>4.1157246545602337</v>
      </c>
      <c r="V3" s="6">
        <v>5.6</v>
      </c>
      <c r="W3" s="6">
        <v>5.8640411446389669</v>
      </c>
      <c r="X3" s="6">
        <v>5.0680252286712566</v>
      </c>
      <c r="Y3" s="6">
        <v>6.2634963111221813</v>
      </c>
      <c r="Z3" s="6">
        <v>5.7700059872144003</v>
      </c>
      <c r="AA3" s="6"/>
    </row>
    <row r="4" spans="1:27">
      <c r="A4" s="39" t="s">
        <v>97</v>
      </c>
      <c r="B4" s="5" t="s">
        <v>108</v>
      </c>
      <c r="C4" s="6">
        <v>4.4000000000000004</v>
      </c>
      <c r="D4" s="6">
        <v>4.5</v>
      </c>
      <c r="E4" s="6">
        <v>4.2730699610898775</v>
      </c>
      <c r="F4" s="6">
        <v>3.5</v>
      </c>
      <c r="G4" s="6">
        <v>3.2788464624560256</v>
      </c>
      <c r="H4" s="6">
        <v>3.2788464624560256</v>
      </c>
      <c r="I4" s="6">
        <v>2.7763716498687492</v>
      </c>
      <c r="J4" s="6">
        <v>4.0999999999999996</v>
      </c>
      <c r="K4" s="6">
        <v>5.0671386930129199</v>
      </c>
      <c r="L4" s="6">
        <v>3.304917211021821</v>
      </c>
      <c r="M4" s="6">
        <v>4.2293668059928047</v>
      </c>
      <c r="N4" s="6">
        <v>3.701593573988311</v>
      </c>
      <c r="O4" s="6">
        <v>2.6200952520350835</v>
      </c>
      <c r="P4" s="6">
        <v>3.5299779684581476</v>
      </c>
      <c r="Q4" s="6">
        <v>3.4124435645476714</v>
      </c>
      <c r="R4" s="6">
        <v>2.4663288273465573</v>
      </c>
      <c r="S4" s="6">
        <v>2.9</v>
      </c>
      <c r="T4" s="6">
        <v>2.9452216013199477</v>
      </c>
      <c r="U4" s="6">
        <v>2.9270921566192261</v>
      </c>
      <c r="V4" s="6">
        <v>4.4000000000000004</v>
      </c>
      <c r="W4" s="6">
        <v>5.0732434572464529</v>
      </c>
      <c r="X4" s="6">
        <v>3.6822310268640219</v>
      </c>
      <c r="Y4" s="6">
        <v>5.0770435646757246</v>
      </c>
      <c r="Z4" s="6">
        <v>3.9826776312530874</v>
      </c>
      <c r="AA4" s="6"/>
    </row>
    <row r="5" spans="1:27">
      <c r="A5" s="39" t="s">
        <v>97</v>
      </c>
      <c r="B5" s="5" t="s">
        <v>107</v>
      </c>
      <c r="C5" s="6">
        <v>5</v>
      </c>
      <c r="D5" s="6">
        <v>5.3</v>
      </c>
      <c r="E5" s="6">
        <v>4.8157474359559496</v>
      </c>
      <c r="F5" s="6">
        <v>5.5</v>
      </c>
      <c r="G5" s="6">
        <v>6.2730608402758659</v>
      </c>
      <c r="H5" s="6">
        <v>6.2730608402758659</v>
      </c>
      <c r="I5" s="6">
        <v>6.3470606849253146</v>
      </c>
      <c r="J5" s="6">
        <v>6.9</v>
      </c>
      <c r="K5" s="6">
        <v>7.181537588729122</v>
      </c>
      <c r="L5" s="6">
        <v>6.4261963574929926</v>
      </c>
      <c r="M5" s="6">
        <v>5.9897163536012288</v>
      </c>
      <c r="N5" s="6">
        <v>5.3183452893961283</v>
      </c>
      <c r="O5" s="6">
        <v>4.4458144616849582</v>
      </c>
      <c r="P5" s="6">
        <v>4.0742557267389259</v>
      </c>
      <c r="Q5" s="6">
        <v>4.2794790145330044</v>
      </c>
      <c r="R5" s="6">
        <v>4.0249145977745613</v>
      </c>
      <c r="S5" s="6">
        <v>4</v>
      </c>
      <c r="T5" s="6">
        <v>4.9992509012594226</v>
      </c>
      <c r="U5" s="6">
        <v>5.6083199166587745</v>
      </c>
      <c r="V5" s="6">
        <v>7.2</v>
      </c>
      <c r="W5" s="6">
        <v>6.9891505436663763</v>
      </c>
      <c r="X5" s="6">
        <v>7.7960055907867529</v>
      </c>
      <c r="Y5" s="6">
        <v>8.3130871852686958</v>
      </c>
      <c r="Z5" s="6">
        <v>9.269206830604185</v>
      </c>
      <c r="AA5" s="6"/>
    </row>
    <row r="6" spans="1:27">
      <c r="A6" s="39" t="s">
        <v>97</v>
      </c>
      <c r="B6" s="16" t="s">
        <v>82</v>
      </c>
      <c r="C6" s="33">
        <v>4</v>
      </c>
      <c r="D6" s="33">
        <v>4</v>
      </c>
      <c r="E6" s="33">
        <v>4</v>
      </c>
      <c r="F6" s="33">
        <v>4</v>
      </c>
      <c r="G6" s="33">
        <v>4</v>
      </c>
      <c r="H6" s="33">
        <v>4</v>
      </c>
      <c r="I6" s="33">
        <v>4</v>
      </c>
      <c r="J6" s="33">
        <v>4</v>
      </c>
      <c r="K6" s="33">
        <v>4</v>
      </c>
      <c r="L6" s="33">
        <v>4</v>
      </c>
      <c r="M6" s="33">
        <v>4</v>
      </c>
      <c r="N6" s="33">
        <v>4</v>
      </c>
      <c r="O6" s="33">
        <v>4</v>
      </c>
      <c r="P6" s="33">
        <v>4</v>
      </c>
      <c r="Q6" s="33">
        <v>4</v>
      </c>
      <c r="R6" s="33">
        <v>4</v>
      </c>
      <c r="S6" s="33">
        <v>4</v>
      </c>
      <c r="T6" s="33">
        <v>4</v>
      </c>
      <c r="U6" s="33">
        <v>4</v>
      </c>
      <c r="V6" s="33">
        <v>4</v>
      </c>
      <c r="W6" s="33">
        <v>4</v>
      </c>
      <c r="X6" s="33">
        <v>4</v>
      </c>
      <c r="Y6" s="33">
        <v>4</v>
      </c>
      <c r="Z6" s="33">
        <v>4</v>
      </c>
      <c r="AA6" s="33">
        <v>4</v>
      </c>
    </row>
    <row r="7" spans="1:27">
      <c r="A7" s="45">
        <v>0</v>
      </c>
      <c r="B7" s="5"/>
      <c r="C7" s="6"/>
      <c r="D7" s="6"/>
      <c r="E7" s="6"/>
      <c r="F7" s="6"/>
      <c r="G7" s="6"/>
      <c r="H7" s="6"/>
      <c r="I7" s="6"/>
      <c r="J7" s="6"/>
      <c r="K7" s="6"/>
      <c r="L7" s="6"/>
      <c r="M7" s="6"/>
      <c r="N7" s="6"/>
      <c r="O7" s="6"/>
      <c r="P7" s="6"/>
      <c r="Q7" s="6"/>
      <c r="R7" s="6"/>
      <c r="S7" s="6"/>
      <c r="T7" s="6"/>
      <c r="U7" s="6"/>
      <c r="V7" s="6"/>
      <c r="W7" s="6"/>
      <c r="X7" s="6"/>
      <c r="Y7" s="6"/>
      <c r="Z7" s="6"/>
      <c r="AA7" s="6"/>
    </row>
    <row r="8" spans="1:27">
      <c r="A8" s="39" t="s">
        <v>97</v>
      </c>
      <c r="B8" s="70" t="s">
        <v>83</v>
      </c>
      <c r="C8" s="71">
        <v>1.9E-2</v>
      </c>
      <c r="D8" s="71">
        <v>1.2800000000000001E-2</v>
      </c>
      <c r="E8" s="71">
        <v>2.2200000000000001E-2</v>
      </c>
      <c r="F8" s="71">
        <v>2.0799999999999999E-2</v>
      </c>
      <c r="G8" s="71">
        <v>2.2700000000000001E-2</v>
      </c>
      <c r="H8" s="71">
        <v>1.6E-2</v>
      </c>
      <c r="I8" s="71">
        <v>1.7100000000000001E-2</v>
      </c>
      <c r="J8" s="71">
        <v>2.1999999999999999E-2</v>
      </c>
      <c r="K8" s="71">
        <v>1.9300000000000001E-2</v>
      </c>
      <c r="L8" s="71">
        <v>1.7600000000000001E-2</v>
      </c>
      <c r="M8" s="71">
        <v>2.58E-2</v>
      </c>
      <c r="N8" s="71">
        <v>2.24E-2</v>
      </c>
      <c r="O8" s="71">
        <v>3.0599999999999999E-2</v>
      </c>
      <c r="P8" s="71">
        <v>4.7199999999999999E-2</v>
      </c>
      <c r="Q8" s="71">
        <v>5.0299999999999997E-2</v>
      </c>
      <c r="R8" s="71">
        <v>4.4200000000000003E-2</v>
      </c>
      <c r="S8" s="71">
        <v>5.5500000000000001E-2</v>
      </c>
      <c r="T8" s="71">
        <v>5.16E-2</v>
      </c>
      <c r="U8" s="71">
        <v>6.5600000000000006E-2</v>
      </c>
      <c r="V8" s="71">
        <v>6.6600000000000006E-2</v>
      </c>
      <c r="W8" s="71">
        <v>5.4300000000000001E-2</v>
      </c>
      <c r="X8" s="71">
        <v>3.44E-2</v>
      </c>
      <c r="Y8" s="71">
        <v>4.82E-2</v>
      </c>
      <c r="Z8" s="71">
        <v>5.0299999999999997E-2</v>
      </c>
      <c r="AA8" s="71"/>
    </row>
    <row r="9" spans="1:27">
      <c r="A9" s="39" t="s">
        <v>97</v>
      </c>
      <c r="B9" s="5" t="s">
        <v>84</v>
      </c>
      <c r="C9" s="7">
        <v>7.3000000000000001E-3</v>
      </c>
      <c r="D9" s="7">
        <v>8.6999999999999994E-3</v>
      </c>
      <c r="E9" s="7">
        <v>6.7000000000000002E-3</v>
      </c>
      <c r="F9" s="7">
        <v>9.7000000000000003E-3</v>
      </c>
      <c r="G9" s="7">
        <v>1.55E-2</v>
      </c>
      <c r="H9" s="7">
        <v>1.7299999999999999E-2</v>
      </c>
      <c r="I9" s="7">
        <v>2.2499999999999999E-2</v>
      </c>
      <c r="J9" s="7">
        <v>2.53E-2</v>
      </c>
      <c r="K9" s="7">
        <v>1.6500000000000001E-2</v>
      </c>
      <c r="L9" s="7">
        <v>2.58E-2</v>
      </c>
      <c r="M9" s="7">
        <v>5.0500000000000003E-2</v>
      </c>
      <c r="N9" s="7">
        <v>3.8600000000000002E-2</v>
      </c>
      <c r="O9" s="7">
        <v>6.2899999999999998E-2</v>
      </c>
      <c r="P9" s="7">
        <v>7.7399999999999997E-2</v>
      </c>
      <c r="Q9" s="7">
        <v>5.1400000000000001E-2</v>
      </c>
      <c r="R9" s="7">
        <v>4.0399999999999998E-2</v>
      </c>
      <c r="S9" s="7">
        <v>0.05</v>
      </c>
      <c r="T9" s="7">
        <v>2.7E-2</v>
      </c>
      <c r="U9" s="7">
        <v>3.0800000000000001E-2</v>
      </c>
      <c r="V9" s="7">
        <v>3.0800000000000001E-2</v>
      </c>
      <c r="W9" s="7">
        <v>2.0500000000000001E-2</v>
      </c>
      <c r="X9" s="7">
        <v>2.75E-2</v>
      </c>
      <c r="Y9" s="7">
        <v>5.8400000000000001E-2</v>
      </c>
      <c r="Z9" s="7">
        <v>3.5000000000000003E-2</v>
      </c>
      <c r="AA9" s="7"/>
    </row>
    <row r="10" spans="1:27">
      <c r="A10" s="39" t="s">
        <v>97</v>
      </c>
      <c r="B10" s="5" t="s">
        <v>85</v>
      </c>
      <c r="C10" s="7">
        <v>2.6499999999999999E-2</v>
      </c>
      <c r="D10" s="7">
        <v>1.8200000000000001E-2</v>
      </c>
      <c r="E10" s="7">
        <v>3.0599999999999999E-2</v>
      </c>
      <c r="F10" s="7">
        <v>2.9100000000000001E-2</v>
      </c>
      <c r="G10" s="7">
        <v>3.2099999999999997E-2</v>
      </c>
      <c r="H10" s="7">
        <v>1.7600000000000001E-2</v>
      </c>
      <c r="I10" s="7">
        <v>1.2699999999999999E-2</v>
      </c>
      <c r="J10" s="7">
        <v>1.7899999999999999E-2</v>
      </c>
      <c r="K10" s="7">
        <v>1.8700000000000001E-2</v>
      </c>
      <c r="L10" s="7">
        <v>1.61E-2</v>
      </c>
      <c r="M10" s="7">
        <v>2.76E-2</v>
      </c>
      <c r="N10" s="7">
        <v>2.6100000000000002E-2</v>
      </c>
      <c r="O10" s="7">
        <v>3.6400000000000002E-2</v>
      </c>
      <c r="P10" s="7">
        <v>5.8000000000000003E-2</v>
      </c>
      <c r="Q10" s="7">
        <v>5.8900000000000001E-2</v>
      </c>
      <c r="R10" s="7">
        <v>4.8500000000000001E-2</v>
      </c>
      <c r="S10" s="7">
        <v>5.9900000000000002E-2</v>
      </c>
      <c r="T10" s="7">
        <v>5.8400000000000001E-2</v>
      </c>
      <c r="U10" s="7">
        <v>7.2499999999999995E-2</v>
      </c>
      <c r="V10" s="7">
        <v>6.9599999999999995E-2</v>
      </c>
      <c r="W10" s="7">
        <v>5.04E-2</v>
      </c>
      <c r="X10" s="7">
        <v>3.0700000000000002E-2</v>
      </c>
      <c r="Y10" s="7">
        <v>4.41E-2</v>
      </c>
      <c r="Z10" s="7">
        <v>0.04</v>
      </c>
      <c r="AA10" s="7"/>
    </row>
    <row r="11" spans="1:27">
      <c r="A11" s="39" t="s">
        <v>97</v>
      </c>
      <c r="B11" s="5" t="s">
        <v>86</v>
      </c>
      <c r="C11" s="7">
        <v>4.4000000000000003E-3</v>
      </c>
      <c r="D11" s="7">
        <v>6.8999999999999999E-3</v>
      </c>
      <c r="E11" s="7">
        <v>2.0500000000000001E-2</v>
      </c>
      <c r="F11" s="7">
        <v>1.1900000000000001E-2</v>
      </c>
      <c r="G11" s="7">
        <v>1.9699999999999999E-2</v>
      </c>
      <c r="H11" s="7">
        <v>1.0999999999999999E-2</v>
      </c>
      <c r="I11" s="7">
        <v>4.8999999999999998E-3</v>
      </c>
      <c r="J11" s="7">
        <v>8.2000000000000007E-3</v>
      </c>
      <c r="K11" s="7">
        <v>1.2800000000000001E-2</v>
      </c>
      <c r="L11" s="7">
        <v>1.01E-2</v>
      </c>
      <c r="M11" s="7">
        <v>2.29E-2</v>
      </c>
      <c r="N11" s="7">
        <v>2.4400000000000002E-2</v>
      </c>
      <c r="O11" s="7">
        <v>3.27E-2</v>
      </c>
      <c r="P11" s="7">
        <v>4.2599999999999999E-2</v>
      </c>
      <c r="Q11" s="7">
        <v>6.5500000000000003E-2</v>
      </c>
      <c r="R11" s="7">
        <v>8.2900000000000001E-2</v>
      </c>
      <c r="S11" s="7">
        <v>7.46E-2</v>
      </c>
      <c r="T11" s="7">
        <v>5.9200000000000003E-2</v>
      </c>
      <c r="U11" s="7">
        <v>9.7500000000000003E-2</v>
      </c>
      <c r="V11" s="7">
        <v>0.12479999999999999</v>
      </c>
      <c r="W11" s="7">
        <v>7.2499999999999995E-2</v>
      </c>
      <c r="X11" s="7">
        <v>6.0900000000000003E-2</v>
      </c>
      <c r="Y11" s="7">
        <v>7.4200000000000002E-2</v>
      </c>
      <c r="Z11" s="7">
        <v>8.8300000000000003E-2</v>
      </c>
      <c r="AA11" s="7"/>
    </row>
    <row r="12" spans="1:27">
      <c r="A12" s="39" t="s">
        <v>97</v>
      </c>
      <c r="B12" s="5" t="s">
        <v>87</v>
      </c>
      <c r="C12" s="7">
        <v>0</v>
      </c>
      <c r="D12" s="7">
        <v>6.9999999999999999E-4</v>
      </c>
      <c r="E12" s="7">
        <v>5.9999999999999995E-4</v>
      </c>
      <c r="F12" s="7">
        <v>3.0999999999999999E-3</v>
      </c>
      <c r="G12" s="7">
        <v>7.1000000000000004E-3</v>
      </c>
      <c r="H12" s="7">
        <v>7.1000000000000004E-3</v>
      </c>
      <c r="I12" s="7">
        <v>9.5999999999999992E-3</v>
      </c>
      <c r="J12" s="7">
        <v>1.89E-2</v>
      </c>
      <c r="K12" s="7">
        <v>1.37E-2</v>
      </c>
      <c r="L12" s="7">
        <v>2.2499999999999999E-2</v>
      </c>
      <c r="M12" s="7">
        <v>2.7900000000000001E-2</v>
      </c>
      <c r="N12" s="7">
        <v>8.3999999999999995E-3</v>
      </c>
      <c r="O12" s="7">
        <v>3.5999999999999999E-3</v>
      </c>
      <c r="P12" s="7">
        <v>9.7999999999999997E-3</v>
      </c>
      <c r="Q12" s="7">
        <v>4.5999999999999999E-3</v>
      </c>
      <c r="R12" s="7">
        <v>0</v>
      </c>
      <c r="S12" s="7">
        <v>0</v>
      </c>
      <c r="T12" s="7">
        <v>5.4000000000000003E-3</v>
      </c>
      <c r="U12" s="7">
        <v>1.7999999999999999E-2</v>
      </c>
      <c r="V12" s="7">
        <v>3.0599999999999999E-2</v>
      </c>
      <c r="W12" s="7">
        <v>8.0999999999999996E-3</v>
      </c>
      <c r="X12" s="7">
        <v>1.44E-2</v>
      </c>
      <c r="Y12" s="7">
        <v>4.6800000000000001E-2</v>
      </c>
      <c r="Z12" s="7">
        <v>5.3100000000000001E-2</v>
      </c>
      <c r="AA12" s="7"/>
    </row>
    <row r="13" spans="1:27">
      <c r="A13" s="39" t="s">
        <v>97</v>
      </c>
      <c r="B13" s="5" t="s">
        <v>88</v>
      </c>
      <c r="C13" s="7">
        <v>2.35E-2</v>
      </c>
      <c r="D13" s="7">
        <v>1.3299999999999999E-2</v>
      </c>
      <c r="E13" s="7">
        <v>2.5999999999999999E-2</v>
      </c>
      <c r="F13" s="7">
        <v>2.2499999999999999E-2</v>
      </c>
      <c r="G13" s="7">
        <v>2.2499999999999999E-2</v>
      </c>
      <c r="H13" s="7">
        <v>1.6E-2</v>
      </c>
      <c r="I13" s="7">
        <v>2.1899999999999999E-2</v>
      </c>
      <c r="J13" s="7">
        <v>3.0700000000000002E-2</v>
      </c>
      <c r="K13" s="7">
        <v>2.5999999999999999E-2</v>
      </c>
      <c r="L13" s="7">
        <v>2.4899999999999999E-2</v>
      </c>
      <c r="M13" s="7">
        <v>2.8000000000000001E-2</v>
      </c>
      <c r="N13" s="7">
        <v>1.8800000000000001E-2</v>
      </c>
      <c r="O13" s="7">
        <v>2.3900000000000001E-2</v>
      </c>
      <c r="P13" s="7">
        <v>3.27E-2</v>
      </c>
      <c r="Q13" s="7">
        <v>4.0899999999999999E-2</v>
      </c>
      <c r="R13" s="7">
        <v>4.2000000000000003E-2</v>
      </c>
      <c r="S13" s="7">
        <v>5.6500000000000002E-2</v>
      </c>
      <c r="T13" s="7">
        <v>5.1999999999999998E-2</v>
      </c>
      <c r="U13" s="7">
        <v>6.4100000000000004E-2</v>
      </c>
      <c r="V13" s="7">
        <v>7.9299999999999995E-2</v>
      </c>
      <c r="W13" s="7">
        <v>7.3499999999999996E-2</v>
      </c>
      <c r="X13" s="7">
        <v>4.1799999999999997E-2</v>
      </c>
      <c r="Y13" s="7">
        <v>5.3800000000000001E-2</v>
      </c>
      <c r="Z13" s="7">
        <v>7.0000000000000007E-2</v>
      </c>
      <c r="AA13" s="7"/>
    </row>
    <row r="14" spans="1:27">
      <c r="A14" s="39" t="s">
        <v>97</v>
      </c>
      <c r="B14" s="5" t="s">
        <v>89</v>
      </c>
      <c r="C14" s="7">
        <v>8.6800000000000002E-2</v>
      </c>
      <c r="D14" s="7">
        <v>4.2599999999999999E-2</v>
      </c>
      <c r="E14" s="7">
        <v>8.7499999999999994E-2</v>
      </c>
      <c r="F14" s="7">
        <v>5.5399999999999998E-2</v>
      </c>
      <c r="G14" s="7">
        <v>7.5999999999999998E-2</v>
      </c>
      <c r="H14" s="7">
        <v>8.7499999999999994E-2</v>
      </c>
      <c r="I14" s="7">
        <v>4.8800000000000003E-2</v>
      </c>
      <c r="J14" s="7">
        <v>4.0300000000000002E-2</v>
      </c>
      <c r="K14" s="7">
        <v>3.5499999999999997E-2</v>
      </c>
      <c r="L14" s="7">
        <v>8.2000000000000007E-3</v>
      </c>
      <c r="M14" s="7">
        <v>1.3299999999999999E-2</v>
      </c>
      <c r="N14" s="7">
        <v>8.5000000000000006E-3</v>
      </c>
      <c r="O14" s="7">
        <v>5.4999999999999997E-3</v>
      </c>
      <c r="P14" s="7">
        <v>1.2800000000000001E-2</v>
      </c>
      <c r="Q14" s="7">
        <v>9.2200000000000004E-2</v>
      </c>
      <c r="R14" s="7">
        <v>0.1003</v>
      </c>
      <c r="S14" s="7">
        <v>0.13650000000000001</v>
      </c>
      <c r="T14" s="7">
        <v>9.4200000000000006E-2</v>
      </c>
      <c r="U14" s="7">
        <v>1.6299999999999999E-2</v>
      </c>
      <c r="V14" s="7">
        <v>3.3500000000000002E-2</v>
      </c>
      <c r="W14" s="7">
        <v>4.99E-2</v>
      </c>
      <c r="X14" s="7">
        <v>8.0100000000000005E-2</v>
      </c>
      <c r="Y14" s="7">
        <v>0.1351</v>
      </c>
      <c r="Z14" s="7">
        <v>0.158</v>
      </c>
      <c r="AA14" s="7"/>
    </row>
    <row r="15" spans="1:27">
      <c r="A15" s="39" t="s">
        <v>97</v>
      </c>
      <c r="B15" s="16" t="s">
        <v>90</v>
      </c>
      <c r="C15" s="17">
        <v>0.01</v>
      </c>
      <c r="D15" s="17">
        <v>0.01</v>
      </c>
      <c r="E15" s="17">
        <v>0.01</v>
      </c>
      <c r="F15" s="17">
        <v>0.01</v>
      </c>
      <c r="G15" s="17">
        <v>0.01</v>
      </c>
      <c r="H15" s="17">
        <v>0.01</v>
      </c>
      <c r="I15" s="17">
        <v>0.01</v>
      </c>
      <c r="J15" s="17">
        <v>0.01</v>
      </c>
      <c r="K15" s="17">
        <v>0.01</v>
      </c>
      <c r="L15" s="17">
        <v>0.01</v>
      </c>
      <c r="M15" s="17">
        <v>0.01</v>
      </c>
      <c r="N15" s="17">
        <v>0.01</v>
      </c>
      <c r="O15" s="17">
        <v>0.01</v>
      </c>
      <c r="P15" s="17">
        <v>0.01</v>
      </c>
      <c r="Q15" s="17">
        <v>0.01</v>
      </c>
      <c r="R15" s="17">
        <v>0.01</v>
      </c>
      <c r="S15" s="17">
        <v>0.01</v>
      </c>
      <c r="T15" s="17">
        <v>0.01</v>
      </c>
      <c r="U15" s="17">
        <v>0.01</v>
      </c>
      <c r="V15" s="17">
        <v>0.01</v>
      </c>
      <c r="W15" s="17">
        <v>0.01</v>
      </c>
      <c r="X15" s="17">
        <v>0.01</v>
      </c>
      <c r="Y15" s="17">
        <v>0.01</v>
      </c>
      <c r="Z15" s="17">
        <v>0.01</v>
      </c>
      <c r="AA15" s="17">
        <v>0.01</v>
      </c>
    </row>
    <row r="16" spans="1:27">
      <c r="A16" s="39" t="s">
        <v>97</v>
      </c>
      <c r="B16" s="16" t="s">
        <v>91</v>
      </c>
      <c r="C16" s="17">
        <v>0.05</v>
      </c>
      <c r="D16" s="17">
        <v>0.05</v>
      </c>
      <c r="E16" s="17">
        <v>0.05</v>
      </c>
      <c r="F16" s="17">
        <v>0.05</v>
      </c>
      <c r="G16" s="17">
        <v>0.05</v>
      </c>
      <c r="H16" s="17">
        <v>0.05</v>
      </c>
      <c r="I16" s="17">
        <v>0.05</v>
      </c>
      <c r="J16" s="17">
        <v>0.05</v>
      </c>
      <c r="K16" s="17">
        <v>0.05</v>
      </c>
      <c r="L16" s="17">
        <v>0.05</v>
      </c>
      <c r="M16" s="17">
        <v>0.05</v>
      </c>
      <c r="N16" s="17">
        <v>0.05</v>
      </c>
      <c r="O16" s="17">
        <v>0.05</v>
      </c>
      <c r="P16" s="17">
        <v>0.05</v>
      </c>
      <c r="Q16" s="17">
        <v>0.05</v>
      </c>
      <c r="R16" s="17">
        <v>0.05</v>
      </c>
      <c r="S16" s="17">
        <v>0.05</v>
      </c>
      <c r="T16" s="17">
        <v>0.05</v>
      </c>
      <c r="U16" s="17">
        <v>0.05</v>
      </c>
      <c r="V16" s="17">
        <v>0.05</v>
      </c>
      <c r="W16" s="17">
        <v>0.05</v>
      </c>
      <c r="X16" s="17">
        <v>0.05</v>
      </c>
      <c r="Y16" s="17">
        <v>0.05</v>
      </c>
      <c r="Z16" s="17">
        <v>0.05</v>
      </c>
      <c r="AA16" s="17">
        <v>0.05</v>
      </c>
    </row>
    <row r="17" spans="1:27">
      <c r="A17" s="39" t="s">
        <v>97</v>
      </c>
      <c r="B17" s="16" t="s">
        <v>15</v>
      </c>
      <c r="C17" s="17">
        <v>0.02</v>
      </c>
      <c r="D17" s="17">
        <v>0.02</v>
      </c>
      <c r="E17" s="17">
        <v>0.02</v>
      </c>
      <c r="F17" s="17">
        <v>0.02</v>
      </c>
      <c r="G17" s="17">
        <v>0.02</v>
      </c>
      <c r="H17" s="17">
        <v>0.02</v>
      </c>
      <c r="I17" s="17">
        <v>0.02</v>
      </c>
      <c r="J17" s="17">
        <v>0.02</v>
      </c>
      <c r="K17" s="17">
        <v>0.02</v>
      </c>
      <c r="L17" s="17">
        <v>0.02</v>
      </c>
      <c r="M17" s="17">
        <v>0.02</v>
      </c>
      <c r="N17" s="17">
        <v>0.02</v>
      </c>
      <c r="O17" s="17">
        <v>0.02</v>
      </c>
      <c r="P17" s="17">
        <v>0.02</v>
      </c>
      <c r="Q17" s="17">
        <v>0.02</v>
      </c>
      <c r="R17" s="17">
        <v>0.02</v>
      </c>
      <c r="S17" s="17">
        <v>0.02</v>
      </c>
      <c r="T17" s="17">
        <v>0.02</v>
      </c>
      <c r="U17" s="17">
        <v>0.02</v>
      </c>
      <c r="V17" s="17">
        <v>0.02</v>
      </c>
      <c r="W17" s="17">
        <v>0.02</v>
      </c>
      <c r="X17" s="17">
        <v>0.02</v>
      </c>
      <c r="Y17" s="17">
        <v>0.02</v>
      </c>
      <c r="Z17" s="17">
        <v>0.02</v>
      </c>
      <c r="AA17" s="17">
        <v>0.02</v>
      </c>
    </row>
    <row r="18" spans="1:27">
      <c r="A18" s="45">
        <v>0</v>
      </c>
      <c r="B18" s="5"/>
      <c r="C18" s="7"/>
      <c r="D18" s="7"/>
      <c r="E18" s="7"/>
      <c r="F18" s="7"/>
      <c r="G18" s="7"/>
      <c r="H18" s="7"/>
      <c r="I18" s="7"/>
      <c r="J18" s="7"/>
      <c r="K18" s="7"/>
      <c r="L18" s="7">
        <v>0.93110000000000004</v>
      </c>
      <c r="M18" s="7"/>
      <c r="N18" s="7"/>
      <c r="O18" s="7"/>
      <c r="P18" s="7"/>
      <c r="Q18" s="7"/>
      <c r="R18" s="7"/>
      <c r="S18" s="7"/>
      <c r="T18" s="7"/>
      <c r="U18" s="7"/>
      <c r="V18" s="7"/>
      <c r="W18" s="7"/>
      <c r="X18" s="7"/>
      <c r="Y18" s="7"/>
      <c r="Z18" s="7"/>
      <c r="AA18" s="7"/>
    </row>
    <row r="19" spans="1:27">
      <c r="A19" s="40" t="s">
        <v>112</v>
      </c>
      <c r="B19" s="5" t="s">
        <v>16</v>
      </c>
      <c r="C19" s="91">
        <v>0.24</v>
      </c>
      <c r="D19" s="8">
        <v>0.4</v>
      </c>
      <c r="E19" s="8">
        <v>0.44</v>
      </c>
      <c r="F19" s="8">
        <v>0.35</v>
      </c>
      <c r="G19" s="8">
        <v>0.35</v>
      </c>
      <c r="H19" s="8">
        <v>0.8</v>
      </c>
      <c r="I19" s="95">
        <v>0.87</v>
      </c>
      <c r="J19" s="8">
        <v>0.94</v>
      </c>
      <c r="K19" s="8">
        <v>0.87659259312264537</v>
      </c>
      <c r="L19" s="8">
        <v>0.93110000000000004</v>
      </c>
      <c r="M19" s="8">
        <v>0.94</v>
      </c>
      <c r="N19" s="8">
        <v>0.92</v>
      </c>
      <c r="O19" s="8">
        <v>0.88</v>
      </c>
      <c r="P19" s="8">
        <v>0.9</v>
      </c>
      <c r="Q19" s="8">
        <v>0.92</v>
      </c>
      <c r="R19" s="8">
        <v>0.89</v>
      </c>
      <c r="S19" s="8">
        <v>0.87</v>
      </c>
      <c r="T19" s="8">
        <v>0.84</v>
      </c>
      <c r="U19" s="8">
        <v>0.8</v>
      </c>
      <c r="V19" s="8">
        <v>0.88</v>
      </c>
      <c r="W19" s="8">
        <v>0.92</v>
      </c>
      <c r="X19" s="8">
        <v>0.95</v>
      </c>
      <c r="Y19" s="34"/>
      <c r="Z19" s="34"/>
      <c r="AA19" s="34"/>
    </row>
    <row r="20" spans="1:27">
      <c r="A20" s="40" t="s">
        <v>112</v>
      </c>
      <c r="B20" s="16" t="s">
        <v>17</v>
      </c>
      <c r="C20" s="34">
        <v>0.95</v>
      </c>
      <c r="D20" s="34">
        <v>0.95</v>
      </c>
      <c r="E20" s="34">
        <v>0.95</v>
      </c>
      <c r="F20" s="34">
        <v>0.95</v>
      </c>
      <c r="G20" s="34">
        <v>0.95</v>
      </c>
      <c r="H20" s="34">
        <v>0.95</v>
      </c>
      <c r="I20" s="34">
        <v>0.95</v>
      </c>
      <c r="J20" s="34">
        <v>0.95</v>
      </c>
      <c r="K20" s="34">
        <v>0.95</v>
      </c>
      <c r="L20" s="34">
        <v>0.95</v>
      </c>
      <c r="M20" s="34">
        <v>0.95</v>
      </c>
      <c r="N20" s="34">
        <v>0.95</v>
      </c>
      <c r="O20" s="34">
        <v>0.95</v>
      </c>
      <c r="P20" s="34">
        <v>0.95</v>
      </c>
      <c r="Q20" s="34">
        <v>0.95</v>
      </c>
      <c r="R20" s="34">
        <v>0.95</v>
      </c>
      <c r="S20" s="34">
        <v>0.95</v>
      </c>
      <c r="T20" s="34">
        <v>0.95</v>
      </c>
      <c r="U20" s="34">
        <v>0.95</v>
      </c>
      <c r="V20" s="34">
        <v>0.95</v>
      </c>
      <c r="W20" s="34">
        <v>0.95</v>
      </c>
      <c r="X20" s="34">
        <v>0.95</v>
      </c>
      <c r="Y20" s="34"/>
      <c r="Z20" s="34"/>
      <c r="AA20" s="34"/>
    </row>
    <row r="21" spans="1:27">
      <c r="A21" s="45">
        <v>0</v>
      </c>
      <c r="B21" s="5"/>
      <c r="C21" s="8"/>
      <c r="D21" s="8"/>
      <c r="E21" s="8"/>
      <c r="F21" s="8"/>
      <c r="G21" s="8"/>
      <c r="H21" s="8"/>
      <c r="I21" s="8"/>
      <c r="J21" s="8"/>
      <c r="K21" s="8"/>
      <c r="L21" s="8"/>
      <c r="M21" s="8"/>
      <c r="N21" s="8"/>
      <c r="O21" s="8"/>
      <c r="P21" s="8"/>
      <c r="Q21" s="8"/>
      <c r="R21" s="8"/>
      <c r="S21" s="8"/>
      <c r="T21" s="8"/>
      <c r="U21" s="8"/>
      <c r="V21" s="8"/>
      <c r="W21" s="8"/>
      <c r="X21" s="8"/>
      <c r="Y21" s="8"/>
      <c r="Z21" s="8"/>
      <c r="AA21" s="8"/>
    </row>
    <row r="22" spans="1:27">
      <c r="A22" s="40" t="s">
        <v>112</v>
      </c>
      <c r="B22" s="5" t="s">
        <v>124</v>
      </c>
      <c r="C22" s="9">
        <v>38</v>
      </c>
      <c r="D22" s="9">
        <v>28</v>
      </c>
      <c r="E22" s="9">
        <v>28</v>
      </c>
      <c r="F22" s="9">
        <v>28</v>
      </c>
      <c r="G22" s="9">
        <v>36</v>
      </c>
      <c r="H22" s="9">
        <v>21</v>
      </c>
      <c r="I22" s="9">
        <v>19</v>
      </c>
      <c r="J22" s="9">
        <v>22</v>
      </c>
      <c r="K22" s="9">
        <v>15</v>
      </c>
      <c r="L22" s="9">
        <v>33</v>
      </c>
      <c r="M22" s="9">
        <v>13</v>
      </c>
      <c r="N22" s="9">
        <v>27</v>
      </c>
      <c r="O22" s="9">
        <v>34</v>
      </c>
      <c r="P22" s="9">
        <v>17</v>
      </c>
      <c r="Q22" s="9">
        <v>27</v>
      </c>
      <c r="R22" s="10">
        <v>30</v>
      </c>
      <c r="S22" s="9">
        <v>25</v>
      </c>
      <c r="T22" s="9">
        <v>31</v>
      </c>
      <c r="U22" s="9">
        <v>24</v>
      </c>
      <c r="V22" s="9">
        <v>33</v>
      </c>
      <c r="W22" s="9">
        <v>35</v>
      </c>
      <c r="X22" s="9">
        <v>38</v>
      </c>
      <c r="Y22" s="9">
        <v>52</v>
      </c>
      <c r="Z22" s="9">
        <v>60</v>
      </c>
      <c r="AA22" s="9"/>
    </row>
    <row r="23" spans="1:27">
      <c r="A23" s="40" t="s">
        <v>112</v>
      </c>
      <c r="B23" s="5" t="s">
        <v>80</v>
      </c>
      <c r="C23" s="9">
        <v>28</v>
      </c>
      <c r="D23" s="9">
        <v>21</v>
      </c>
      <c r="E23" s="9">
        <v>23</v>
      </c>
      <c r="F23" s="9">
        <v>19</v>
      </c>
      <c r="G23" s="9">
        <v>29</v>
      </c>
      <c r="H23" s="9">
        <v>14</v>
      </c>
      <c r="I23" s="9">
        <v>16</v>
      </c>
      <c r="J23" s="9">
        <v>12</v>
      </c>
      <c r="K23" s="9">
        <v>12</v>
      </c>
      <c r="L23" s="9">
        <v>15</v>
      </c>
      <c r="M23" s="9">
        <v>8</v>
      </c>
      <c r="N23" s="9">
        <v>17</v>
      </c>
      <c r="O23" s="9">
        <v>19</v>
      </c>
      <c r="P23" s="9">
        <v>12</v>
      </c>
      <c r="Q23" s="9">
        <v>16</v>
      </c>
      <c r="R23" s="9">
        <v>24</v>
      </c>
      <c r="S23" s="9">
        <v>16</v>
      </c>
      <c r="T23" s="9">
        <v>22</v>
      </c>
      <c r="U23" s="9">
        <v>20</v>
      </c>
      <c r="V23" s="9">
        <v>27</v>
      </c>
      <c r="W23" s="9">
        <v>25</v>
      </c>
      <c r="X23" s="9">
        <v>26</v>
      </c>
      <c r="Y23" s="9">
        <v>43</v>
      </c>
      <c r="Z23" s="9">
        <v>45</v>
      </c>
      <c r="AA23" s="9"/>
    </row>
    <row r="24" spans="1:27">
      <c r="A24" s="40" t="s">
        <v>112</v>
      </c>
      <c r="B24" s="5" t="s">
        <v>123</v>
      </c>
      <c r="C24" s="9"/>
      <c r="D24" s="9"/>
      <c r="E24" s="9"/>
      <c r="F24" s="9"/>
      <c r="G24" s="9"/>
      <c r="H24" s="9"/>
      <c r="I24" s="9"/>
      <c r="J24" s="9"/>
      <c r="K24" s="9"/>
      <c r="L24" s="9"/>
      <c r="M24" s="9">
        <v>1</v>
      </c>
      <c r="N24" s="9">
        <v>2</v>
      </c>
      <c r="O24" s="9">
        <v>5</v>
      </c>
      <c r="P24" s="9">
        <v>3</v>
      </c>
      <c r="Q24" s="9">
        <v>1</v>
      </c>
      <c r="R24" s="9">
        <v>0</v>
      </c>
      <c r="S24" s="9">
        <v>1</v>
      </c>
      <c r="T24" s="9">
        <v>1</v>
      </c>
      <c r="U24" s="9">
        <v>0</v>
      </c>
      <c r="V24" s="9">
        <v>2</v>
      </c>
      <c r="W24" s="9">
        <v>3</v>
      </c>
      <c r="X24" s="9">
        <v>4</v>
      </c>
      <c r="Y24" s="9">
        <v>0</v>
      </c>
      <c r="Z24" s="9"/>
      <c r="AA24" s="9"/>
    </row>
    <row r="25" spans="1:27">
      <c r="A25" s="40" t="s">
        <v>112</v>
      </c>
      <c r="B25" s="16" t="s">
        <v>79</v>
      </c>
      <c r="C25" s="35">
        <v>20</v>
      </c>
      <c r="D25" s="35">
        <v>20</v>
      </c>
      <c r="E25" s="35">
        <v>20</v>
      </c>
      <c r="F25" s="35">
        <v>20</v>
      </c>
      <c r="G25" s="35">
        <v>20</v>
      </c>
      <c r="H25" s="35">
        <v>20</v>
      </c>
      <c r="I25" s="35">
        <v>20</v>
      </c>
      <c r="J25" s="35">
        <v>20</v>
      </c>
      <c r="K25" s="35">
        <v>20</v>
      </c>
      <c r="L25" s="35">
        <v>20</v>
      </c>
      <c r="M25" s="35">
        <v>20</v>
      </c>
      <c r="N25" s="35">
        <v>20</v>
      </c>
      <c r="O25" s="35">
        <v>20</v>
      </c>
      <c r="P25" s="35">
        <v>20</v>
      </c>
      <c r="Q25" s="35">
        <v>20</v>
      </c>
      <c r="R25" s="35">
        <v>20</v>
      </c>
      <c r="S25" s="35">
        <v>20</v>
      </c>
      <c r="T25" s="35">
        <v>20</v>
      </c>
      <c r="U25" s="35">
        <v>20</v>
      </c>
      <c r="V25" s="35">
        <v>20</v>
      </c>
      <c r="W25" s="35">
        <v>20</v>
      </c>
      <c r="X25" s="35">
        <v>20</v>
      </c>
      <c r="Y25" s="35">
        <v>20</v>
      </c>
      <c r="Z25" s="35">
        <v>20</v>
      </c>
      <c r="AA25" s="35">
        <v>20</v>
      </c>
    </row>
    <row r="26" spans="1:27">
      <c r="A26" s="45">
        <v>0</v>
      </c>
      <c r="B26" s="5"/>
      <c r="C26" s="9"/>
      <c r="D26" s="9"/>
      <c r="E26" s="9"/>
      <c r="F26" s="9"/>
      <c r="G26" s="9"/>
      <c r="H26" s="9"/>
      <c r="I26" s="9"/>
      <c r="J26" s="9"/>
      <c r="K26" s="9"/>
      <c r="L26" s="9"/>
      <c r="M26" s="9"/>
      <c r="N26" s="9"/>
      <c r="O26" s="9"/>
      <c r="P26" s="9"/>
      <c r="Q26" s="9"/>
      <c r="R26" s="9"/>
      <c r="S26" s="9"/>
      <c r="T26" s="9"/>
      <c r="U26" s="9"/>
      <c r="V26" s="9"/>
      <c r="W26" s="9"/>
      <c r="X26" s="9"/>
      <c r="Y26" s="9"/>
      <c r="Z26" s="9"/>
      <c r="AA26" s="9"/>
    </row>
    <row r="27" spans="1:27">
      <c r="A27" s="39" t="s">
        <v>97</v>
      </c>
      <c r="B27" s="5" t="s">
        <v>110</v>
      </c>
      <c r="C27" s="10">
        <v>18523</v>
      </c>
      <c r="D27" s="10">
        <v>17712.000000004391</v>
      </c>
      <c r="E27" s="10">
        <v>16256.00000000673</v>
      </c>
      <c r="F27" s="10">
        <v>19061</v>
      </c>
      <c r="G27" s="10">
        <v>16944</v>
      </c>
      <c r="H27" s="10">
        <v>15446.000000004087</v>
      </c>
      <c r="I27" s="10">
        <v>15709.000000003398</v>
      </c>
      <c r="J27" s="10">
        <v>15356.000000003301</v>
      </c>
      <c r="K27" s="10">
        <v>17570.000000005417</v>
      </c>
      <c r="L27" s="10">
        <v>18616</v>
      </c>
      <c r="M27" s="10">
        <v>15171</v>
      </c>
      <c r="N27" s="10">
        <v>17077.000000004053</v>
      </c>
      <c r="O27" s="10">
        <v>18400.00000000036</v>
      </c>
      <c r="P27" s="10">
        <v>17719.0000000041</v>
      </c>
      <c r="Q27" s="10">
        <v>22117</v>
      </c>
      <c r="R27" s="10">
        <v>21048</v>
      </c>
      <c r="S27" s="10">
        <v>17711</v>
      </c>
      <c r="T27" s="10">
        <v>19978</v>
      </c>
      <c r="U27" s="10">
        <v>16178</v>
      </c>
      <c r="V27" s="10">
        <v>17113</v>
      </c>
      <c r="W27" s="10">
        <v>20711</v>
      </c>
      <c r="X27" s="10">
        <v>21045</v>
      </c>
      <c r="Y27" s="10">
        <v>17475</v>
      </c>
      <c r="Z27" s="10">
        <v>22589</v>
      </c>
      <c r="AA27" s="10"/>
    </row>
    <row r="28" spans="1:27">
      <c r="A28" s="40" t="s">
        <v>112</v>
      </c>
      <c r="B28" s="5" t="s">
        <v>109</v>
      </c>
      <c r="C28" s="10">
        <v>14018</v>
      </c>
      <c r="D28" s="10">
        <v>10064</v>
      </c>
      <c r="E28" s="10">
        <v>12441</v>
      </c>
      <c r="F28" s="10">
        <v>14519</v>
      </c>
      <c r="G28" s="10">
        <v>12785</v>
      </c>
      <c r="H28" s="10">
        <v>11507</v>
      </c>
      <c r="I28" s="10">
        <v>12004</v>
      </c>
      <c r="J28" s="10">
        <v>11626</v>
      </c>
      <c r="K28" s="10">
        <v>13911</v>
      </c>
      <c r="L28" s="10">
        <v>16893</v>
      </c>
      <c r="M28" s="10">
        <v>11468</v>
      </c>
      <c r="N28" s="10">
        <v>13955</v>
      </c>
      <c r="O28" s="10">
        <v>14846</v>
      </c>
      <c r="P28" s="10">
        <v>13623</v>
      </c>
      <c r="Q28" s="10">
        <v>18006</v>
      </c>
      <c r="R28" s="10">
        <v>16368</v>
      </c>
      <c r="S28" s="10">
        <v>13872</v>
      </c>
      <c r="T28" s="10">
        <v>14626</v>
      </c>
      <c r="U28" s="10">
        <v>11563</v>
      </c>
      <c r="V28" s="10">
        <v>13692</v>
      </c>
      <c r="W28" s="10">
        <v>15251</v>
      </c>
      <c r="X28" s="10">
        <v>15810</v>
      </c>
      <c r="Y28" s="10">
        <v>11561</v>
      </c>
      <c r="Z28" s="10">
        <v>15553</v>
      </c>
      <c r="AA28" s="10"/>
    </row>
    <row r="29" spans="1:27">
      <c r="A29" s="39" t="s">
        <v>97</v>
      </c>
      <c r="B29" s="5" t="s">
        <v>13</v>
      </c>
      <c r="C29" s="10">
        <v>21801</v>
      </c>
      <c r="D29" s="10">
        <v>18292.206222330606</v>
      </c>
      <c r="E29" s="89">
        <v>18663</v>
      </c>
      <c r="F29" s="10">
        <v>24591.124741091808</v>
      </c>
      <c r="G29" s="10">
        <v>24865</v>
      </c>
      <c r="H29" s="10">
        <v>17611.895132068366</v>
      </c>
      <c r="I29" s="10">
        <v>25869.427288173156</v>
      </c>
      <c r="J29" s="10">
        <v>17932</v>
      </c>
      <c r="K29" s="10">
        <v>17716.129531582472</v>
      </c>
      <c r="L29" s="10">
        <v>26485.162981306403</v>
      </c>
      <c r="M29" s="10">
        <v>18019.562264188255</v>
      </c>
      <c r="N29" s="10">
        <v>21512.90420623721</v>
      </c>
      <c r="O29" s="10">
        <v>26307.99887799639</v>
      </c>
      <c r="P29" s="10">
        <v>16717.880867426571</v>
      </c>
      <c r="Q29" s="10">
        <v>19079.902395894562</v>
      </c>
      <c r="R29" s="10">
        <v>27059.674406119346</v>
      </c>
      <c r="S29" s="10">
        <v>21050</v>
      </c>
      <c r="T29" s="10">
        <v>21873.907425668236</v>
      </c>
      <c r="U29" s="10">
        <v>31445.169501792556</v>
      </c>
      <c r="V29" s="10">
        <v>18245.527288611</v>
      </c>
      <c r="W29" s="10">
        <v>19278</v>
      </c>
      <c r="X29" s="10">
        <v>32232.314177714423</v>
      </c>
      <c r="Y29" s="10">
        <v>16867.981336194563</v>
      </c>
      <c r="Z29" s="10">
        <v>27409.893321970871</v>
      </c>
      <c r="AA29" s="10"/>
    </row>
    <row r="30" spans="1:27">
      <c r="A30" s="45">
        <v>0</v>
      </c>
      <c r="B30" s="5"/>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spans="1:27">
      <c r="A31" s="39" t="s">
        <v>97</v>
      </c>
      <c r="B31" s="5" t="s">
        <v>14</v>
      </c>
      <c r="C31" s="10">
        <v>67</v>
      </c>
      <c r="D31" s="10">
        <v>79</v>
      </c>
      <c r="E31" s="10">
        <v>94</v>
      </c>
      <c r="F31" s="10">
        <v>66</v>
      </c>
      <c r="G31" s="10">
        <v>68</v>
      </c>
      <c r="H31" s="10">
        <v>95.836147121297671</v>
      </c>
      <c r="I31" s="10">
        <v>71</v>
      </c>
      <c r="J31" s="10">
        <v>104</v>
      </c>
      <c r="K31" s="10">
        <v>88</v>
      </c>
      <c r="L31" s="10">
        <v>68.403375264631279</v>
      </c>
      <c r="M31" s="10">
        <v>122</v>
      </c>
      <c r="N31" s="10">
        <v>88</v>
      </c>
      <c r="O31" s="10">
        <v>73.996807098994466</v>
      </c>
      <c r="P31" s="10">
        <v>114</v>
      </c>
      <c r="Q31" s="10">
        <v>88</v>
      </c>
      <c r="R31" s="10">
        <v>74</v>
      </c>
      <c r="S31" s="10">
        <v>90</v>
      </c>
      <c r="T31" s="10">
        <v>80.400000000000006</v>
      </c>
      <c r="U31" s="10">
        <v>92</v>
      </c>
      <c r="V31" s="10">
        <v>127</v>
      </c>
      <c r="W31" s="10">
        <v>99</v>
      </c>
      <c r="X31" s="10">
        <v>79</v>
      </c>
      <c r="Y31" s="10">
        <v>149</v>
      </c>
      <c r="Z31" s="10">
        <v>97.252843240333448</v>
      </c>
      <c r="AA31" s="10"/>
    </row>
    <row r="32" spans="1:27">
      <c r="A32" s="41" t="s">
        <v>75</v>
      </c>
      <c r="B32" s="5" t="s">
        <v>28</v>
      </c>
      <c r="C32" s="7">
        <v>7.3597918776370772E-2</v>
      </c>
      <c r="D32" s="7">
        <v>8.4000000000000005E-2</v>
      </c>
      <c r="E32" s="7">
        <v>0.1</v>
      </c>
      <c r="F32" s="7">
        <v>6.7000000000000004E-2</v>
      </c>
      <c r="G32" s="7">
        <v>6.9347710051970587E-2</v>
      </c>
      <c r="H32" s="7">
        <v>9.7000000000000003E-2</v>
      </c>
      <c r="I32" s="7">
        <v>7.0000000000000007E-2</v>
      </c>
      <c r="J32" s="7">
        <v>0.107</v>
      </c>
      <c r="K32" s="7">
        <v>0.10570145805985035</v>
      </c>
      <c r="L32" s="7">
        <v>6.9545515542340772E-2</v>
      </c>
      <c r="M32" s="7">
        <v>0.11799999999999999</v>
      </c>
      <c r="N32" s="7">
        <v>8.6126935702523139E-2</v>
      </c>
      <c r="O32" s="7">
        <v>6.5902312552164374E-2</v>
      </c>
      <c r="P32" s="7">
        <v>0.10824555618934292</v>
      </c>
      <c r="Q32" s="7">
        <v>8.5999999999999993E-2</v>
      </c>
      <c r="R32" s="7">
        <v>7.4126122729125568E-2</v>
      </c>
      <c r="S32" s="7">
        <v>8.7524803419983296E-2</v>
      </c>
      <c r="T32" s="7">
        <v>8.0900944571852471E-2</v>
      </c>
      <c r="U32" s="7">
        <v>7.6999999999999999E-2</v>
      </c>
      <c r="V32" s="7">
        <v>0.127</v>
      </c>
      <c r="W32" s="7">
        <v>0.113</v>
      </c>
      <c r="X32" s="7">
        <v>6.9000000000000006E-2</v>
      </c>
      <c r="Y32" s="7">
        <v>0.13300000000000001</v>
      </c>
      <c r="Z32" s="7">
        <v>7.9000000000000001E-2</v>
      </c>
      <c r="AA32" s="7"/>
    </row>
    <row r="33" spans="1:31">
      <c r="A33" s="41" t="s">
        <v>75</v>
      </c>
      <c r="B33" s="16" t="s">
        <v>64</v>
      </c>
      <c r="C33" s="17">
        <v>8.9099999999999999E-2</v>
      </c>
      <c r="D33" s="17">
        <v>8.5999999999999993E-2</v>
      </c>
      <c r="E33" s="17">
        <v>8.4000000000000005E-2</v>
      </c>
      <c r="F33" s="17">
        <v>8.4000000000000005E-2</v>
      </c>
      <c r="G33" s="17">
        <v>8.4000000000000005E-2</v>
      </c>
      <c r="H33" s="17">
        <v>8.5999999999999993E-2</v>
      </c>
      <c r="I33" s="17">
        <v>8.2000000000000003E-2</v>
      </c>
      <c r="J33" s="17">
        <v>9.4E-2</v>
      </c>
      <c r="K33" s="17">
        <v>9.0087986212807808E-2</v>
      </c>
      <c r="L33" s="17">
        <v>8.702443194716708E-2</v>
      </c>
      <c r="M33" s="17">
        <v>0.09</v>
      </c>
      <c r="N33" s="17">
        <v>9.2200009363584828E-2</v>
      </c>
      <c r="O33" s="17">
        <v>8.2730168311728233E-2</v>
      </c>
      <c r="P33" s="17">
        <v>9.3090787809236727E-2</v>
      </c>
      <c r="Q33" s="17">
        <v>9.5000000000000001E-2</v>
      </c>
      <c r="R33" s="17">
        <v>8.4790284765746071E-2</v>
      </c>
      <c r="S33" s="17">
        <v>8.1227147051729925E-2</v>
      </c>
      <c r="T33" s="17">
        <v>0.10274950053179992</v>
      </c>
      <c r="U33" s="17">
        <v>9.7000000000000003E-2</v>
      </c>
      <c r="V33" s="17">
        <v>0.113</v>
      </c>
      <c r="W33" s="17">
        <v>0.113</v>
      </c>
      <c r="X33" s="17">
        <v>8.5000000000000006E-2</v>
      </c>
      <c r="Y33" s="17">
        <v>0.107</v>
      </c>
      <c r="Z33" s="17">
        <v>9.5000000000000001E-2</v>
      </c>
      <c r="AA33" s="17"/>
      <c r="AB33" s="36"/>
      <c r="AC33" s="36"/>
      <c r="AE33" s="36"/>
    </row>
    <row r="34" spans="1:31">
      <c r="A34" s="45">
        <v>0</v>
      </c>
      <c r="B34" s="5"/>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spans="1:31">
      <c r="A35" s="41" t="s">
        <v>75</v>
      </c>
      <c r="B35" s="5" t="s">
        <v>25</v>
      </c>
      <c r="C35" s="7">
        <v>1.2751893606722353E-2</v>
      </c>
      <c r="D35" s="7">
        <v>-3.1E-2</v>
      </c>
      <c r="E35" s="7">
        <v>4.3999999999999997E-2</v>
      </c>
      <c r="F35" s="7">
        <v>0.128</v>
      </c>
      <c r="G35" s="7">
        <v>5.9552476019400528E-3</v>
      </c>
      <c r="H35" s="7">
        <v>-4.78208543095116E-2</v>
      </c>
      <c r="I35" s="7">
        <v>-8.4000000000000005E-2</v>
      </c>
      <c r="J35" s="7">
        <v>3.4000000000000002E-2</v>
      </c>
      <c r="K35" s="7">
        <v>9.6998869649869354E-2</v>
      </c>
      <c r="L35" s="7">
        <v>3.179354641678693E-2</v>
      </c>
      <c r="M35" s="7">
        <v>2.1000000000000001E-2</v>
      </c>
      <c r="N35" s="7">
        <v>-1.8368424814339455E-2</v>
      </c>
      <c r="O35" s="7">
        <v>-3.345403205389285E-2</v>
      </c>
      <c r="P35" s="7">
        <v>-0.03</v>
      </c>
      <c r="Q35" s="7">
        <v>-3.4000000000000002E-2</v>
      </c>
      <c r="R35" s="7">
        <v>-3.5999999999999997E-2</v>
      </c>
      <c r="S35" s="7">
        <v>7.7531423875353847E-2</v>
      </c>
      <c r="T35" s="7">
        <v>-1.6673509990633061E-2</v>
      </c>
      <c r="U35" s="7">
        <v>-4.0000000000000001E-3</v>
      </c>
      <c r="V35" s="7">
        <v>-4.9000000000000002E-2</v>
      </c>
      <c r="W35" s="7">
        <v>-0.03</v>
      </c>
      <c r="X35" s="7">
        <v>-5.1999999999999998E-2</v>
      </c>
      <c r="Y35" s="7">
        <v>-4.9000000000000002E-2</v>
      </c>
      <c r="Z35" s="7">
        <v>3.4000000000000002E-2</v>
      </c>
      <c r="AA35" s="7"/>
    </row>
    <row r="36" spans="1:31">
      <c r="A36" s="41" t="s">
        <v>75</v>
      </c>
      <c r="B36" s="5" t="s">
        <v>27</v>
      </c>
      <c r="C36" s="7">
        <v>3.5184608215899658E-2</v>
      </c>
      <c r="D36" s="7">
        <v>-6.5000000000000002E-2</v>
      </c>
      <c r="E36" s="7">
        <v>-0.13200000000000001</v>
      </c>
      <c r="F36" s="7">
        <v>0.28100000000000003</v>
      </c>
      <c r="G36" s="7">
        <v>3.6205163481817432E-2</v>
      </c>
      <c r="H36" s="7">
        <v>-0.23366978882778991</v>
      </c>
      <c r="I36" s="7">
        <v>-8.5999999999999993E-2</v>
      </c>
      <c r="J36" s="7">
        <v>-0.14799999999999999</v>
      </c>
      <c r="K36" s="7">
        <v>-3.3125851118957807E-2</v>
      </c>
      <c r="L36" s="7">
        <v>0.16086156829884005</v>
      </c>
      <c r="M36" s="7">
        <v>-0.29699999999999999</v>
      </c>
      <c r="N36" s="7">
        <v>-4.1868221013730736E-2</v>
      </c>
      <c r="O36" s="7">
        <v>6.3223226342578168E-2</v>
      </c>
      <c r="P36" s="7">
        <v>-0.29121036720036253</v>
      </c>
      <c r="Q36" s="7">
        <v>-5.6000000000000001E-2</v>
      </c>
      <c r="R36" s="7">
        <v>6.5000000000000002E-2</v>
      </c>
      <c r="S36" s="7">
        <v>-0.29211707268402304</v>
      </c>
      <c r="T36" s="7">
        <v>0.12363819890252252</v>
      </c>
      <c r="U36" s="7">
        <v>-0.1</v>
      </c>
      <c r="V36" s="7">
        <v>-0.26700000000000002</v>
      </c>
      <c r="W36" s="7">
        <v>-0.252</v>
      </c>
      <c r="X36" s="7">
        <v>-7.4999999999999997E-2</v>
      </c>
      <c r="Y36" s="7">
        <v>-0.41799999999999998</v>
      </c>
      <c r="Z36" s="7">
        <v>-6.0000000000000001E-3</v>
      </c>
      <c r="AA36" s="7"/>
    </row>
    <row r="37" spans="1:31">
      <c r="A37" s="45">
        <v>0</v>
      </c>
      <c r="B37" s="5"/>
      <c r="C37" s="7"/>
      <c r="D37" s="7"/>
      <c r="E37" s="7"/>
      <c r="F37" s="7"/>
      <c r="G37" s="7"/>
      <c r="H37" s="7"/>
      <c r="I37" s="7"/>
      <c r="J37" s="7"/>
      <c r="K37" s="7"/>
      <c r="L37" s="7"/>
      <c r="M37" s="7"/>
      <c r="N37" s="7"/>
      <c r="O37" s="7"/>
      <c r="P37" s="7"/>
      <c r="Q37" s="7"/>
      <c r="R37" s="7"/>
      <c r="S37" s="7"/>
      <c r="T37" s="7"/>
      <c r="U37" s="7"/>
      <c r="V37" s="7"/>
      <c r="W37" s="7"/>
      <c r="X37" s="7"/>
      <c r="Y37" s="7"/>
      <c r="Z37" s="7"/>
      <c r="AA37" s="7"/>
    </row>
    <row r="38" spans="1:31">
      <c r="A38" s="40" t="s">
        <v>112</v>
      </c>
      <c r="B38" s="5" t="s">
        <v>58</v>
      </c>
      <c r="C38" s="10">
        <v>410349</v>
      </c>
      <c r="D38" s="10">
        <v>266211</v>
      </c>
      <c r="E38" s="10">
        <v>212322</v>
      </c>
      <c r="F38" s="10">
        <v>425363</v>
      </c>
      <c r="G38" s="10">
        <v>389214</v>
      </c>
      <c r="H38" s="10">
        <v>344107</v>
      </c>
      <c r="I38" s="10">
        <v>248166</v>
      </c>
      <c r="J38" s="10">
        <v>414294</v>
      </c>
      <c r="K38" s="10">
        <v>387983</v>
      </c>
      <c r="L38" s="10">
        <v>198946</v>
      </c>
      <c r="M38" s="10">
        <v>349696</v>
      </c>
      <c r="N38" s="10">
        <v>308371</v>
      </c>
      <c r="O38" s="10">
        <v>263565</v>
      </c>
      <c r="P38" s="10">
        <v>220007</v>
      </c>
      <c r="Q38" s="10">
        <v>424502</v>
      </c>
      <c r="R38" s="10">
        <v>402555</v>
      </c>
      <c r="S38" s="10">
        <v>368978</v>
      </c>
      <c r="T38" s="10">
        <v>402271</v>
      </c>
      <c r="U38" s="10">
        <v>369228</v>
      </c>
      <c r="V38" s="10">
        <v>607412</v>
      </c>
      <c r="W38" s="10">
        <v>639458</v>
      </c>
      <c r="X38" s="10">
        <v>454429</v>
      </c>
      <c r="Y38" s="10">
        <v>371271</v>
      </c>
      <c r="Z38" s="10">
        <v>660167</v>
      </c>
      <c r="AA38" s="10"/>
    </row>
    <row r="39" spans="1:31">
      <c r="A39" s="40" t="s">
        <v>112</v>
      </c>
      <c r="B39" s="16" t="s">
        <v>56</v>
      </c>
      <c r="C39" s="48">
        <v>532920</v>
      </c>
      <c r="D39" s="48">
        <v>259253</v>
      </c>
      <c r="E39" s="48">
        <v>278966</v>
      </c>
      <c r="F39" s="48">
        <v>457380</v>
      </c>
      <c r="G39" s="66">
        <v>388836</v>
      </c>
      <c r="H39" s="66">
        <v>325034</v>
      </c>
      <c r="I39" s="66">
        <v>247488</v>
      </c>
      <c r="J39" s="66">
        <v>339585</v>
      </c>
      <c r="K39" s="66">
        <v>377412</v>
      </c>
      <c r="L39" s="66">
        <v>292000</v>
      </c>
      <c r="M39" s="66">
        <v>395925</v>
      </c>
      <c r="N39" s="66">
        <v>339000</v>
      </c>
      <c r="O39" s="66">
        <v>263591</v>
      </c>
      <c r="P39" s="66">
        <v>256069</v>
      </c>
      <c r="Q39" s="99">
        <v>458234</v>
      </c>
      <c r="R39" s="66">
        <v>434168</v>
      </c>
      <c r="S39" s="101">
        <f>368978+12771</f>
        <v>381749</v>
      </c>
      <c r="T39" s="66">
        <v>384386</v>
      </c>
      <c r="U39" s="66">
        <v>329000</v>
      </c>
      <c r="V39" s="66">
        <v>419000</v>
      </c>
      <c r="W39" s="66">
        <v>547000</v>
      </c>
      <c r="X39" s="66">
        <v>415000</v>
      </c>
      <c r="Y39" s="66">
        <v>350000</v>
      </c>
      <c r="Z39" s="66">
        <v>603000</v>
      </c>
      <c r="AA39" s="66">
        <v>610000</v>
      </c>
    </row>
    <row r="40" spans="1:31">
      <c r="A40" s="40" t="s">
        <v>112</v>
      </c>
      <c r="B40" s="5" t="s">
        <v>55</v>
      </c>
      <c r="C40" s="11">
        <f t="shared" ref="C40:Z40" si="0">C38/C39</f>
        <v>0.77000112587255121</v>
      </c>
      <c r="D40" s="11">
        <f t="shared" si="0"/>
        <v>1.0268386479616436</v>
      </c>
      <c r="E40" s="92">
        <f t="shared" si="0"/>
        <v>0.7611035036527749</v>
      </c>
      <c r="F40" s="11">
        <f t="shared" si="0"/>
        <v>0.92999912545367092</v>
      </c>
      <c r="G40" s="11">
        <f t="shared" si="0"/>
        <v>1.0009721322099805</v>
      </c>
      <c r="H40" s="11">
        <f t="shared" si="0"/>
        <v>1.058680015013814</v>
      </c>
      <c r="I40" s="11">
        <f t="shared" si="0"/>
        <v>1.0027395267649342</v>
      </c>
      <c r="J40" s="11">
        <f t="shared" si="0"/>
        <v>1.220000883431247</v>
      </c>
      <c r="K40" s="11">
        <f t="shared" si="0"/>
        <v>1.0280091782985172</v>
      </c>
      <c r="L40" s="11">
        <f t="shared" si="0"/>
        <v>0.68132191780821916</v>
      </c>
      <c r="M40" s="11">
        <f t="shared" si="0"/>
        <v>0.8832379869924859</v>
      </c>
      <c r="N40" s="11">
        <f t="shared" si="0"/>
        <v>0.90964896755162239</v>
      </c>
      <c r="O40" s="11">
        <f t="shared" si="0"/>
        <v>0.99990136233786431</v>
      </c>
      <c r="P40" s="97">
        <f t="shared" si="0"/>
        <v>0.85917077037829648</v>
      </c>
      <c r="Q40" s="11">
        <f t="shared" si="0"/>
        <v>0.92638695513645863</v>
      </c>
      <c r="R40" s="11">
        <f t="shared" si="0"/>
        <v>0.92718717178603671</v>
      </c>
      <c r="S40" s="11">
        <f t="shared" si="0"/>
        <v>0.96654608132568787</v>
      </c>
      <c r="T40" s="11">
        <f t="shared" si="0"/>
        <v>1.0465287497463487</v>
      </c>
      <c r="U40" s="11">
        <f t="shared" si="0"/>
        <v>1.1222735562310031</v>
      </c>
      <c r="V40" s="11">
        <f t="shared" si="0"/>
        <v>1.449670644391408</v>
      </c>
      <c r="W40" s="11">
        <f t="shared" si="0"/>
        <v>1.1690274223034736</v>
      </c>
      <c r="X40" s="11">
        <f t="shared" si="0"/>
        <v>1.095009638554217</v>
      </c>
      <c r="Y40" s="11">
        <f t="shared" si="0"/>
        <v>1.0607742857142857</v>
      </c>
      <c r="Z40" s="11">
        <f t="shared" si="0"/>
        <v>1.094804311774461</v>
      </c>
      <c r="AA40" s="11">
        <f t="shared" ref="AA40" si="1">AA38/AA39</f>
        <v>0</v>
      </c>
    </row>
    <row r="41" spans="1:31">
      <c r="A41" s="40" t="s">
        <v>112</v>
      </c>
      <c r="B41" s="5" t="s">
        <v>57</v>
      </c>
      <c r="C41" s="10">
        <v>380678</v>
      </c>
      <c r="D41" s="10">
        <v>318757</v>
      </c>
      <c r="E41" s="10">
        <v>283748</v>
      </c>
      <c r="F41" s="10">
        <v>440315</v>
      </c>
      <c r="G41" s="10">
        <v>393997</v>
      </c>
      <c r="H41" s="10">
        <v>233157</v>
      </c>
      <c r="I41" s="10">
        <v>354365</v>
      </c>
      <c r="J41" s="10">
        <v>262043</v>
      </c>
      <c r="K41" s="10">
        <v>343684</v>
      </c>
      <c r="L41" s="10">
        <v>440720</v>
      </c>
      <c r="M41" s="10">
        <v>254593</v>
      </c>
      <c r="N41" s="10">
        <v>308430</v>
      </c>
      <c r="O41" s="10">
        <v>410553</v>
      </c>
      <c r="P41" s="10">
        <v>254081</v>
      </c>
      <c r="Q41" s="10">
        <v>374096</v>
      </c>
      <c r="R41" s="10">
        <v>483755</v>
      </c>
      <c r="S41" s="10">
        <v>362278</v>
      </c>
      <c r="T41" s="10">
        <v>345898</v>
      </c>
      <c r="U41" s="10">
        <f>433110</f>
        <v>433110</v>
      </c>
      <c r="V41" s="10">
        <v>311868</v>
      </c>
      <c r="W41" s="10">
        <v>353796</v>
      </c>
      <c r="X41" s="10">
        <v>498260</v>
      </c>
      <c r="Y41" s="10">
        <v>233525</v>
      </c>
      <c r="Z41" s="10">
        <v>481000</v>
      </c>
      <c r="AA41" s="10"/>
    </row>
    <row r="42" spans="1:31">
      <c r="A42" s="40" t="s">
        <v>112</v>
      </c>
      <c r="B42" s="65" t="s">
        <v>102</v>
      </c>
      <c r="C42" s="66">
        <v>356160.70319999999</v>
      </c>
      <c r="D42" s="66">
        <v>325430</v>
      </c>
      <c r="E42" s="66">
        <v>362317</v>
      </c>
      <c r="F42" s="66">
        <v>404458</v>
      </c>
      <c r="G42" s="66">
        <v>367453</v>
      </c>
      <c r="H42" s="66">
        <v>340924.23666666669</v>
      </c>
      <c r="I42" s="66">
        <v>357099.45226666675</v>
      </c>
      <c r="J42" s="66">
        <v>303499.27000000008</v>
      </c>
      <c r="K42" s="66">
        <v>360869.24433333345</v>
      </c>
      <c r="L42" s="66">
        <v>411388</v>
      </c>
      <c r="M42" s="66">
        <v>306933</v>
      </c>
      <c r="N42" s="66">
        <v>337493.32055555558</v>
      </c>
      <c r="O42" s="66">
        <v>442360.10603599978</v>
      </c>
      <c r="P42" s="66">
        <v>340847.29049999994</v>
      </c>
      <c r="Q42" s="66">
        <v>410001.14999999997</v>
      </c>
      <c r="R42" s="66">
        <v>530000</v>
      </c>
      <c r="S42" s="66">
        <v>392027.53115555551</v>
      </c>
      <c r="T42" s="66">
        <v>327707.57343333331</v>
      </c>
      <c r="U42" s="66">
        <v>386509.06299999991</v>
      </c>
      <c r="V42" s="66">
        <v>310861.86411111109</v>
      </c>
      <c r="W42" s="66">
        <v>341473.10055555555</v>
      </c>
      <c r="X42" s="66">
        <v>483327.14711111109</v>
      </c>
      <c r="Y42" s="66">
        <v>297280.31200000003</v>
      </c>
      <c r="Z42" s="66">
        <v>381150.3820000001</v>
      </c>
      <c r="AA42" s="66">
        <v>545649</v>
      </c>
      <c r="AB42" s="69" t="s">
        <v>106</v>
      </c>
    </row>
    <row r="43" spans="1:31">
      <c r="A43" s="40" t="s">
        <v>112</v>
      </c>
      <c r="B43" s="67" t="s">
        <v>103</v>
      </c>
      <c r="C43" s="68">
        <f t="shared" ref="C43" si="2">C41/C42-1</f>
        <v>6.8837736953345052E-2</v>
      </c>
      <c r="D43" s="68">
        <f>D41/D42-1</f>
        <v>-2.0505177764803539E-2</v>
      </c>
      <c r="E43" s="68">
        <f t="shared" ref="E43:Z43" si="3">E41/E42-1</f>
        <v>-0.21685154160583131</v>
      </c>
      <c r="F43" s="68">
        <f t="shared" si="3"/>
        <v>8.865444619713303E-2</v>
      </c>
      <c r="G43" s="68">
        <f t="shared" si="3"/>
        <v>7.2237810005633341E-2</v>
      </c>
      <c r="H43" s="98">
        <f t="shared" si="3"/>
        <v>-0.31610318386379321</v>
      </c>
      <c r="I43" s="68">
        <f t="shared" si="3"/>
        <v>-7.6573969780966422E-3</v>
      </c>
      <c r="J43" s="68">
        <f t="shared" si="3"/>
        <v>-0.13659429889238306</v>
      </c>
      <c r="K43" s="68">
        <f t="shared" si="3"/>
        <v>-4.7621803750777736E-2</v>
      </c>
      <c r="L43" s="68">
        <f t="shared" si="3"/>
        <v>7.1300086536311147E-2</v>
      </c>
      <c r="M43" s="68">
        <f t="shared" si="3"/>
        <v>-0.17052581508016407</v>
      </c>
      <c r="N43" s="68">
        <f t="shared" si="3"/>
        <v>-8.6115246689071556E-2</v>
      </c>
      <c r="O43" s="68">
        <f t="shared" si="3"/>
        <v>-7.1903197422172771E-2</v>
      </c>
      <c r="P43" s="98">
        <f t="shared" si="3"/>
        <v>-0.25456059918422602</v>
      </c>
      <c r="Q43" s="68">
        <f t="shared" si="3"/>
        <v>-8.7573290952964289E-2</v>
      </c>
      <c r="R43" s="68">
        <f t="shared" si="3"/>
        <v>-8.7254716981132074E-2</v>
      </c>
      <c r="S43" s="68">
        <f t="shared" si="3"/>
        <v>-7.5886331421328057E-2</v>
      </c>
      <c r="T43" s="68">
        <f t="shared" si="3"/>
        <v>5.5508105522520834E-2</v>
      </c>
      <c r="U43" s="68">
        <f t="shared" si="3"/>
        <v>0.12056880798161296</v>
      </c>
      <c r="V43" s="68">
        <f t="shared" si="3"/>
        <v>3.2366012208215889E-3</v>
      </c>
      <c r="W43" s="68">
        <f t="shared" si="3"/>
        <v>3.6087467576203958E-2</v>
      </c>
      <c r="X43" s="68">
        <f t="shared" si="3"/>
        <v>3.0895953140939625E-2</v>
      </c>
      <c r="Y43" s="68">
        <f t="shared" si="3"/>
        <v>-0.21446193853564044</v>
      </c>
      <c r="Z43" s="68">
        <f t="shared" si="3"/>
        <v>0.2619690880960468</v>
      </c>
      <c r="AA43" s="68">
        <f t="shared" ref="AA43" si="4">AA41/AA42-1</f>
        <v>-1</v>
      </c>
    </row>
    <row r="44" spans="1:31">
      <c r="A44" s="45">
        <v>0</v>
      </c>
      <c r="B44" s="49" t="s">
        <v>78</v>
      </c>
      <c r="C44" s="50"/>
      <c r="D44" s="50"/>
      <c r="E44" s="50"/>
      <c r="F44" s="50"/>
      <c r="G44" s="50"/>
      <c r="H44" s="50"/>
      <c r="I44" s="50"/>
      <c r="J44" s="50"/>
      <c r="K44" s="50"/>
      <c r="L44" s="50"/>
      <c r="M44" s="50"/>
      <c r="N44" s="50"/>
      <c r="O44" s="50"/>
      <c r="P44" s="50"/>
      <c r="Q44" s="50"/>
      <c r="R44" s="50"/>
      <c r="S44" s="50"/>
      <c r="T44" s="50"/>
      <c r="U44" s="50"/>
      <c r="V44" s="50"/>
      <c r="W44" s="50"/>
      <c r="X44" s="50"/>
      <c r="Y44" s="50"/>
      <c r="Z44" s="50"/>
      <c r="AA44" s="50"/>
    </row>
    <row r="45" spans="1:31">
      <c r="A45" s="45"/>
      <c r="B45" s="51"/>
      <c r="C45" s="50"/>
      <c r="D45" s="50"/>
      <c r="E45" s="50"/>
      <c r="F45" s="50"/>
      <c r="G45" s="50"/>
      <c r="H45" s="50"/>
      <c r="I45" s="50"/>
      <c r="J45" s="50"/>
      <c r="K45" s="50"/>
      <c r="L45" s="50"/>
      <c r="M45" s="50"/>
      <c r="N45" s="50"/>
      <c r="O45" s="50"/>
      <c r="P45" s="50"/>
      <c r="Q45" s="50"/>
      <c r="R45" s="50"/>
      <c r="S45" s="50"/>
      <c r="T45" s="50"/>
      <c r="U45" s="50"/>
      <c r="V45" s="50"/>
      <c r="W45" s="50"/>
      <c r="X45" s="50"/>
      <c r="Y45" s="50"/>
      <c r="Z45" s="50"/>
      <c r="AA45" s="50"/>
    </row>
    <row r="46" spans="1:31">
      <c r="A46" s="40" t="s">
        <v>112</v>
      </c>
      <c r="B46" s="5" t="s">
        <v>66</v>
      </c>
      <c r="C46" s="10">
        <v>8518</v>
      </c>
      <c r="D46" s="10">
        <v>7972</v>
      </c>
      <c r="E46" s="10">
        <v>8161</v>
      </c>
      <c r="F46" s="10">
        <v>8565</v>
      </c>
      <c r="G46" s="10">
        <v>8030.4761904761908</v>
      </c>
      <c r="H46" s="10">
        <v>6967</v>
      </c>
      <c r="I46" s="10">
        <v>9985</v>
      </c>
      <c r="J46" s="10">
        <v>7474</v>
      </c>
      <c r="K46" s="10">
        <v>8961.9523809523816</v>
      </c>
      <c r="L46" s="10">
        <v>8743</v>
      </c>
      <c r="M46" s="10">
        <v>7912</v>
      </c>
      <c r="N46" s="10">
        <v>9332.105263157895</v>
      </c>
      <c r="O46" s="10">
        <v>8271</v>
      </c>
      <c r="P46" s="10">
        <v>7683</v>
      </c>
      <c r="Q46" s="10">
        <v>9582</v>
      </c>
      <c r="R46" s="10">
        <v>8364</v>
      </c>
      <c r="S46" s="10">
        <v>9657.3684210526317</v>
      </c>
      <c r="T46" s="10">
        <v>10154</v>
      </c>
      <c r="U46" s="104">
        <v>10658</v>
      </c>
      <c r="V46" s="10">
        <v>9663</v>
      </c>
      <c r="W46" s="10">
        <v>9462.0476190476184</v>
      </c>
      <c r="X46" s="10">
        <v>9338.136363636364</v>
      </c>
      <c r="Y46" s="122"/>
      <c r="Z46" s="122"/>
      <c r="AA46" s="122"/>
    </row>
    <row r="47" spans="1:31">
      <c r="A47" s="40" t="s">
        <v>112</v>
      </c>
      <c r="B47" s="5" t="s">
        <v>67</v>
      </c>
      <c r="C47" s="10">
        <v>6723</v>
      </c>
      <c r="D47" s="10">
        <v>6349</v>
      </c>
      <c r="E47" s="10">
        <v>6384</v>
      </c>
      <c r="F47" s="10">
        <v>6852</v>
      </c>
      <c r="G47" s="10">
        <v>6576.9047619047615</v>
      </c>
      <c r="H47" s="10">
        <v>5576</v>
      </c>
      <c r="I47" s="10">
        <v>7955</v>
      </c>
      <c r="J47" s="10">
        <v>6018</v>
      </c>
      <c r="K47" s="10">
        <v>6926.2857142857147</v>
      </c>
      <c r="L47" s="10">
        <v>6999</v>
      </c>
      <c r="M47" s="10">
        <v>6385</v>
      </c>
      <c r="N47" s="10">
        <v>7303.1578947368425</v>
      </c>
      <c r="O47" s="10">
        <v>6441</v>
      </c>
      <c r="P47" s="10">
        <v>6099</v>
      </c>
      <c r="Q47" s="10">
        <v>7694</v>
      </c>
      <c r="R47" s="10">
        <v>6782</v>
      </c>
      <c r="S47" s="10">
        <v>8026.4736842105267</v>
      </c>
      <c r="T47" s="10">
        <v>8514</v>
      </c>
      <c r="U47" s="104">
        <v>11028</v>
      </c>
      <c r="V47" s="10">
        <v>8986</v>
      </c>
      <c r="W47" s="10">
        <v>9843.6666666666661</v>
      </c>
      <c r="X47" s="10">
        <v>9734.318181818182</v>
      </c>
      <c r="Y47" s="122"/>
      <c r="Z47" s="122"/>
      <c r="AA47" s="122"/>
    </row>
    <row r="48" spans="1:31">
      <c r="A48" s="40" t="s">
        <v>112</v>
      </c>
      <c r="B48" s="5" t="s">
        <v>92</v>
      </c>
      <c r="C48" s="55">
        <f>C46/C47-1</f>
        <v>0.26699390153205416</v>
      </c>
      <c r="D48" s="55">
        <f t="shared" ref="D48:N48" si="5">D46/D47-1</f>
        <v>0.25563080800126015</v>
      </c>
      <c r="E48" s="93">
        <f t="shared" si="5"/>
        <v>0.27835213032581452</v>
      </c>
      <c r="F48" s="55">
        <f t="shared" si="5"/>
        <v>0.25</v>
      </c>
      <c r="G48" s="55">
        <f t="shared" si="5"/>
        <v>0.22101147594395987</v>
      </c>
      <c r="H48" s="55">
        <f t="shared" si="5"/>
        <v>0.24946197991391683</v>
      </c>
      <c r="I48" s="55">
        <f t="shared" si="5"/>
        <v>0.25518541797611571</v>
      </c>
      <c r="J48" s="55">
        <f t="shared" si="5"/>
        <v>0.24194084413426387</v>
      </c>
      <c r="K48" s="55">
        <f t="shared" si="5"/>
        <v>0.29390451832907072</v>
      </c>
      <c r="L48" s="55">
        <f t="shared" si="5"/>
        <v>0.24917845406486649</v>
      </c>
      <c r="M48" s="55">
        <f t="shared" si="5"/>
        <v>0.23915426781519189</v>
      </c>
      <c r="N48" s="55">
        <f t="shared" si="5"/>
        <v>0.27781781493225699</v>
      </c>
      <c r="O48" s="55">
        <f>O46/O47-1</f>
        <v>0.28411737307871454</v>
      </c>
      <c r="P48" s="55">
        <f t="shared" ref="P48:Z48" si="6">P46/P47-1</f>
        <v>0.25971470732907043</v>
      </c>
      <c r="Q48" s="55">
        <f t="shared" si="6"/>
        <v>0.24538601507668312</v>
      </c>
      <c r="R48" s="55">
        <f t="shared" si="6"/>
        <v>0.23326452373930984</v>
      </c>
      <c r="S48" s="55">
        <f t="shared" si="6"/>
        <v>0.20318944545353212</v>
      </c>
      <c r="T48" s="55">
        <f t="shared" si="6"/>
        <v>0.1926239135541461</v>
      </c>
      <c r="U48" s="55">
        <f t="shared" si="6"/>
        <v>-3.3550961189698914E-2</v>
      </c>
      <c r="V48" s="55">
        <f t="shared" si="6"/>
        <v>7.5339416870687792E-2</v>
      </c>
      <c r="W48" s="55">
        <f t="shared" si="6"/>
        <v>-3.876797747645333E-2</v>
      </c>
      <c r="X48" s="55">
        <f t="shared" si="6"/>
        <v>-4.0699493357614802E-2</v>
      </c>
      <c r="Y48" s="55" t="e">
        <f t="shared" si="6"/>
        <v>#DIV/0!</v>
      </c>
      <c r="Z48" s="55" t="e">
        <f t="shared" si="6"/>
        <v>#DIV/0!</v>
      </c>
      <c r="AA48" s="55" t="e">
        <f t="shared" ref="AA48" si="7">AA46/AA47-1</f>
        <v>#DIV/0!</v>
      </c>
    </row>
    <row r="49" spans="1:27">
      <c r="A49" s="40" t="s">
        <v>112</v>
      </c>
      <c r="B49" s="65" t="s">
        <v>60</v>
      </c>
      <c r="C49" s="66">
        <v>8200</v>
      </c>
      <c r="D49" s="66">
        <v>8400</v>
      </c>
      <c r="E49" s="66">
        <v>9400</v>
      </c>
      <c r="F49" s="66">
        <v>9200</v>
      </c>
      <c r="G49" s="66">
        <v>10000</v>
      </c>
      <c r="H49" s="66">
        <v>9800</v>
      </c>
      <c r="I49" s="66">
        <v>11000</v>
      </c>
      <c r="J49" s="66">
        <v>8700</v>
      </c>
      <c r="K49" s="66">
        <v>9400</v>
      </c>
      <c r="L49" s="66">
        <v>9500</v>
      </c>
      <c r="M49" s="66">
        <v>8700</v>
      </c>
      <c r="N49" s="66">
        <v>8700</v>
      </c>
      <c r="O49" s="66">
        <v>9100</v>
      </c>
      <c r="P49" s="66">
        <v>9300</v>
      </c>
      <c r="Q49" s="66">
        <v>10200</v>
      </c>
      <c r="R49" s="66">
        <v>9878</v>
      </c>
      <c r="S49" s="66">
        <v>11300</v>
      </c>
      <c r="T49" s="66">
        <v>7800</v>
      </c>
      <c r="U49" s="66">
        <v>12100</v>
      </c>
      <c r="V49" s="66">
        <v>9800</v>
      </c>
      <c r="W49" s="66">
        <v>8900</v>
      </c>
      <c r="X49" s="66"/>
      <c r="Y49" s="66"/>
      <c r="Z49" s="66"/>
      <c r="AA49" s="66"/>
    </row>
    <row r="50" spans="1:27">
      <c r="A50" s="40" t="s">
        <v>112</v>
      </c>
      <c r="B50" s="67" t="s">
        <v>76</v>
      </c>
      <c r="C50" s="68">
        <f>C46/C49</f>
        <v>1.0387804878048781</v>
      </c>
      <c r="D50" s="68">
        <f t="shared" ref="D50:Y50" si="8">D46/D49</f>
        <v>0.94904761904761903</v>
      </c>
      <c r="E50" s="68">
        <f t="shared" si="8"/>
        <v>0.8681914893617021</v>
      </c>
      <c r="F50" s="68">
        <f t="shared" si="8"/>
        <v>0.93097826086956526</v>
      </c>
      <c r="G50" s="68">
        <f t="shared" si="8"/>
        <v>0.80304761904761912</v>
      </c>
      <c r="H50" s="68">
        <f t="shared" si="8"/>
        <v>0.71091836734693881</v>
      </c>
      <c r="I50" s="68">
        <f t="shared" si="8"/>
        <v>0.90772727272727272</v>
      </c>
      <c r="J50" s="68">
        <f t="shared" si="8"/>
        <v>0.85908045977011493</v>
      </c>
      <c r="K50" s="68">
        <f t="shared" si="8"/>
        <v>0.95339918946301927</v>
      </c>
      <c r="L50" s="68">
        <f t="shared" si="8"/>
        <v>0.9203157894736842</v>
      </c>
      <c r="M50" s="68">
        <f t="shared" si="8"/>
        <v>0.90942528735632189</v>
      </c>
      <c r="N50" s="68">
        <f t="shared" si="8"/>
        <v>1.0726557773744707</v>
      </c>
      <c r="O50" s="68">
        <f t="shared" si="8"/>
        <v>0.90890109890109894</v>
      </c>
      <c r="P50" s="68">
        <f t="shared" si="8"/>
        <v>0.82612903225806456</v>
      </c>
      <c r="Q50" s="68">
        <f t="shared" si="8"/>
        <v>0.93941176470588239</v>
      </c>
      <c r="R50" s="68">
        <f t="shared" si="8"/>
        <v>0.84673010730917186</v>
      </c>
      <c r="S50" s="68">
        <f t="shared" si="8"/>
        <v>0.85463437354448069</v>
      </c>
      <c r="T50" s="68">
        <f t="shared" si="8"/>
        <v>1.3017948717948717</v>
      </c>
      <c r="U50" s="68">
        <f t="shared" si="8"/>
        <v>0.88082644628099172</v>
      </c>
      <c r="V50" s="68">
        <f t="shared" si="8"/>
        <v>0.98602040816326531</v>
      </c>
      <c r="W50" s="68">
        <f t="shared" si="8"/>
        <v>1.0631514178705188</v>
      </c>
      <c r="X50" s="68" t="e">
        <f t="shared" si="8"/>
        <v>#DIV/0!</v>
      </c>
      <c r="Y50" s="68" t="e">
        <f t="shared" si="8"/>
        <v>#DIV/0!</v>
      </c>
      <c r="Z50" s="68" t="e">
        <f t="shared" ref="Z50:AA50" si="9">Z46/Z49</f>
        <v>#DIV/0!</v>
      </c>
      <c r="AA50" s="68" t="e">
        <f t="shared" si="9"/>
        <v>#DIV/0!</v>
      </c>
    </row>
    <row r="51" spans="1:27">
      <c r="A51" s="40"/>
      <c r="B51" s="16"/>
      <c r="C51" s="47"/>
      <c r="D51" s="47"/>
      <c r="E51" s="47"/>
      <c r="F51" s="47"/>
      <c r="G51" s="47"/>
      <c r="H51" s="47"/>
      <c r="I51" s="47"/>
      <c r="J51" s="47"/>
      <c r="K51" s="47"/>
      <c r="L51" s="47"/>
      <c r="M51" s="47"/>
      <c r="N51" s="47"/>
      <c r="O51" s="47"/>
      <c r="P51" s="47"/>
      <c r="Q51" s="47"/>
      <c r="R51" s="47"/>
      <c r="S51" s="47"/>
      <c r="T51" s="47"/>
      <c r="U51" s="47"/>
      <c r="V51" s="47"/>
      <c r="W51" s="47"/>
      <c r="X51" s="47"/>
      <c r="Y51" s="47"/>
      <c r="Z51" s="47"/>
      <c r="AA51" s="47"/>
    </row>
    <row r="52" spans="1:27">
      <c r="A52" s="45">
        <v>0</v>
      </c>
      <c r="B52" s="5"/>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spans="1:27">
      <c r="A53" s="40" t="s">
        <v>112</v>
      </c>
      <c r="B53" s="5" t="s">
        <v>23</v>
      </c>
      <c r="C53" s="7">
        <v>0.99819999999999998</v>
      </c>
      <c r="D53" s="7">
        <v>0.99790000000000001</v>
      </c>
      <c r="E53" s="7">
        <v>0.99819999999999998</v>
      </c>
      <c r="F53" s="7">
        <v>0.99880000000000002</v>
      </c>
      <c r="G53" s="7">
        <v>0.99773171685569029</v>
      </c>
      <c r="H53" s="7">
        <v>0.99860000000000004</v>
      </c>
      <c r="I53" s="7">
        <v>0.99870000000000003</v>
      </c>
      <c r="J53" s="7">
        <v>0.999</v>
      </c>
      <c r="K53" s="7">
        <v>0.99913737330170371</v>
      </c>
      <c r="L53" s="7">
        <v>0.99909999999999999</v>
      </c>
      <c r="M53" s="7">
        <v>0.99929999999999997</v>
      </c>
      <c r="N53" s="7">
        <v>0.99878179863848082</v>
      </c>
      <c r="O53" s="7">
        <v>0.99878179863848082</v>
      </c>
      <c r="P53" s="7">
        <v>0.99890000000000001</v>
      </c>
      <c r="Q53" s="100">
        <v>0.99990000000000001</v>
      </c>
      <c r="R53" s="7">
        <v>0.99850000000000005</v>
      </c>
      <c r="S53" s="7">
        <v>0.99880000000000002</v>
      </c>
      <c r="T53" s="7">
        <v>0.99839999999999995</v>
      </c>
      <c r="U53" s="105">
        <v>0.998</v>
      </c>
      <c r="V53" s="7">
        <v>0.998</v>
      </c>
      <c r="W53" s="7">
        <v>0.99839999999999995</v>
      </c>
      <c r="X53" s="7">
        <v>0.99835547122074642</v>
      </c>
      <c r="Y53" s="7">
        <v>0.99628059856413809</v>
      </c>
      <c r="Z53" s="7">
        <v>0.99709999999999999</v>
      </c>
      <c r="AA53" s="7"/>
    </row>
    <row r="54" spans="1:27">
      <c r="A54" s="40" t="s">
        <v>112</v>
      </c>
      <c r="B54" s="16" t="s">
        <v>24</v>
      </c>
      <c r="C54" s="17">
        <v>0.99</v>
      </c>
      <c r="D54" s="17">
        <v>0.99</v>
      </c>
      <c r="E54" s="17">
        <v>0.99</v>
      </c>
      <c r="F54" s="17">
        <v>0.99</v>
      </c>
      <c r="G54" s="17">
        <v>0.99</v>
      </c>
      <c r="H54" s="17">
        <v>0.99</v>
      </c>
      <c r="I54" s="17">
        <v>0.99</v>
      </c>
      <c r="J54" s="17">
        <v>0.99</v>
      </c>
      <c r="K54" s="17">
        <v>0.99</v>
      </c>
      <c r="L54" s="17">
        <v>0.99</v>
      </c>
      <c r="M54" s="17">
        <v>0.99</v>
      </c>
      <c r="N54" s="17">
        <v>0.99</v>
      </c>
      <c r="O54" s="17">
        <v>0.99</v>
      </c>
      <c r="P54" s="17">
        <v>0.99</v>
      </c>
      <c r="Q54" s="17">
        <v>0.99</v>
      </c>
      <c r="R54" s="17">
        <v>0.99</v>
      </c>
      <c r="S54" s="17">
        <v>0.99</v>
      </c>
      <c r="T54" s="17">
        <v>0.99</v>
      </c>
      <c r="U54" s="17">
        <v>0.99</v>
      </c>
      <c r="V54" s="17">
        <v>0.99</v>
      </c>
      <c r="W54" s="17">
        <v>0.99</v>
      </c>
      <c r="X54" s="17">
        <v>0.99</v>
      </c>
      <c r="Y54" s="17">
        <v>0.99</v>
      </c>
      <c r="Z54" s="17">
        <v>0.99</v>
      </c>
      <c r="AA54" s="17">
        <v>0.99</v>
      </c>
    </row>
    <row r="55" spans="1:27">
      <c r="A55" s="45">
        <v>0</v>
      </c>
      <c r="B55" s="5"/>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spans="1:27">
      <c r="A56" s="39" t="s">
        <v>97</v>
      </c>
      <c r="B56" s="5" t="s">
        <v>29</v>
      </c>
      <c r="C56" s="7">
        <v>2.3E-2</v>
      </c>
      <c r="D56" s="7">
        <v>2.5999999999999999E-2</v>
      </c>
      <c r="E56" s="7">
        <v>3.4000000000000002E-2</v>
      </c>
      <c r="F56" s="7">
        <v>5.6000000000000001E-2</v>
      </c>
      <c r="G56" s="7">
        <v>6.7000000000000004E-2</v>
      </c>
      <c r="H56" s="7">
        <v>4.7E-2</v>
      </c>
      <c r="I56" s="7">
        <v>6.4000000000000001E-2</v>
      </c>
      <c r="J56" s="7">
        <v>5.0999999999999997E-2</v>
      </c>
      <c r="K56" s="7">
        <v>5.3999999999999999E-2</v>
      </c>
      <c r="L56" s="7">
        <v>0.04</v>
      </c>
      <c r="M56" s="7">
        <v>4.8000000000000001E-2</v>
      </c>
      <c r="N56" s="7">
        <v>4.5999999999999999E-2</v>
      </c>
      <c r="O56" s="7">
        <v>3.3000000000000002E-2</v>
      </c>
      <c r="P56" s="7">
        <v>0.125</v>
      </c>
      <c r="Q56" s="7">
        <v>6.0999999999999999E-2</v>
      </c>
      <c r="R56" s="7">
        <v>7.4999999999999997E-2</v>
      </c>
      <c r="S56" s="7">
        <v>7.1999999999999995E-2</v>
      </c>
      <c r="T56" s="7">
        <v>3.6999999999999998E-2</v>
      </c>
      <c r="U56" s="7">
        <v>4.7E-2</v>
      </c>
      <c r="V56" s="7">
        <v>4.8000000000000001E-2</v>
      </c>
      <c r="W56" s="7">
        <v>3.6999999999999998E-2</v>
      </c>
      <c r="X56" s="7">
        <v>5.8000000000000003E-2</v>
      </c>
      <c r="Y56" s="7">
        <v>9.6000000000000002E-2</v>
      </c>
      <c r="Z56" s="7">
        <v>7.1999999999999995E-2</v>
      </c>
      <c r="AA56" s="7"/>
    </row>
    <row r="57" spans="1:27">
      <c r="A57" s="39" t="s">
        <v>97</v>
      </c>
      <c r="B57" s="5" t="s">
        <v>74</v>
      </c>
      <c r="C57" s="7">
        <v>2.3E-2</v>
      </c>
      <c r="D57" s="7">
        <v>2.5999999999999999E-2</v>
      </c>
      <c r="E57" s="7">
        <v>3.4000000000000002E-2</v>
      </c>
      <c r="F57" s="7">
        <v>5.6000000000000001E-2</v>
      </c>
      <c r="G57" s="7">
        <f t="shared" ref="G57:J57" si="10">G56</f>
        <v>6.7000000000000004E-2</v>
      </c>
      <c r="H57" s="7">
        <f t="shared" si="10"/>
        <v>4.7E-2</v>
      </c>
      <c r="I57" s="7">
        <f t="shared" si="10"/>
        <v>6.4000000000000001E-2</v>
      </c>
      <c r="J57" s="7">
        <f t="shared" si="10"/>
        <v>5.0999999999999997E-2</v>
      </c>
      <c r="K57" s="7">
        <f t="shared" ref="K57" si="11">K56</f>
        <v>5.3999999999999999E-2</v>
      </c>
      <c r="L57" s="7">
        <f>L56</f>
        <v>0.04</v>
      </c>
      <c r="M57" s="7">
        <f t="shared" ref="M57:O57" si="12">M56</f>
        <v>4.8000000000000001E-2</v>
      </c>
      <c r="N57" s="7">
        <f t="shared" si="12"/>
        <v>4.5999999999999999E-2</v>
      </c>
      <c r="O57" s="7">
        <f t="shared" si="12"/>
        <v>3.3000000000000002E-2</v>
      </c>
      <c r="P57" s="7">
        <f>P56</f>
        <v>0.125</v>
      </c>
      <c r="Q57" s="7">
        <f>Q56</f>
        <v>6.0999999999999999E-2</v>
      </c>
      <c r="R57" s="7">
        <v>7.4999999999999997E-2</v>
      </c>
      <c r="S57" s="7">
        <v>7.1999999999999995E-2</v>
      </c>
      <c r="T57" s="7">
        <f>T56</f>
        <v>3.6999999999999998E-2</v>
      </c>
      <c r="U57" s="7">
        <f>U56</f>
        <v>4.7E-2</v>
      </c>
      <c r="V57" s="7">
        <v>4.8000000000000001E-2</v>
      </c>
      <c r="W57" s="7">
        <v>3.6999999999999998E-2</v>
      </c>
      <c r="X57" s="7">
        <v>5.8000000000000003E-2</v>
      </c>
      <c r="Y57" s="7">
        <v>9.6000000000000002E-2</v>
      </c>
      <c r="Z57" s="7">
        <v>7.1999999999999995E-2</v>
      </c>
      <c r="AA57" s="7"/>
    </row>
    <row r="58" spans="1:27">
      <c r="A58" s="39" t="s">
        <v>97</v>
      </c>
      <c r="B58" s="16" t="s">
        <v>30</v>
      </c>
      <c r="C58" s="17">
        <v>0.04</v>
      </c>
      <c r="D58" s="17">
        <v>0.04</v>
      </c>
      <c r="E58" s="17">
        <v>0.04</v>
      </c>
      <c r="F58" s="17">
        <v>0.04</v>
      </c>
      <c r="G58" s="17">
        <v>0.04</v>
      </c>
      <c r="H58" s="17">
        <v>0.04</v>
      </c>
      <c r="I58" s="17">
        <v>0.04</v>
      </c>
      <c r="J58" s="17">
        <v>0.04</v>
      </c>
      <c r="K58" s="17">
        <v>0.04</v>
      </c>
      <c r="L58" s="17">
        <v>0.04</v>
      </c>
      <c r="M58" s="17">
        <v>0.04</v>
      </c>
      <c r="N58" s="17">
        <v>0.04</v>
      </c>
      <c r="O58" s="17">
        <v>0.04</v>
      </c>
      <c r="P58" s="17">
        <v>0.04</v>
      </c>
      <c r="Q58" s="17">
        <v>0.04</v>
      </c>
      <c r="R58" s="17">
        <v>0.04</v>
      </c>
      <c r="S58" s="17">
        <v>0.04</v>
      </c>
      <c r="T58" s="17">
        <v>0.04</v>
      </c>
      <c r="U58" s="17">
        <v>0.04</v>
      </c>
      <c r="V58" s="17">
        <v>0.04</v>
      </c>
      <c r="W58" s="17">
        <v>0.04</v>
      </c>
      <c r="X58" s="17">
        <v>0.04</v>
      </c>
      <c r="Y58" s="17">
        <v>0.04</v>
      </c>
      <c r="Z58" s="17">
        <v>0.04</v>
      </c>
      <c r="AA58" s="17">
        <v>0.04</v>
      </c>
    </row>
    <row r="59" spans="1:27">
      <c r="A59" s="45">
        <v>0</v>
      </c>
      <c r="B59" s="5"/>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c r="A60" s="42" t="s">
        <v>96</v>
      </c>
      <c r="B60" s="5" t="s">
        <v>118</v>
      </c>
      <c r="C60" s="7">
        <v>0.9677</v>
      </c>
      <c r="D60" s="7">
        <v>0.98019999999999996</v>
      </c>
      <c r="E60" s="7">
        <v>0.96140000000000003</v>
      </c>
      <c r="F60" s="7">
        <v>0.95950000000000002</v>
      </c>
      <c r="G60" s="7">
        <v>0.96030000000000004</v>
      </c>
      <c r="H60" s="7">
        <v>0.95689999999999997</v>
      </c>
      <c r="I60" s="7">
        <v>0.95020000000000004</v>
      </c>
      <c r="J60" s="7">
        <v>0.97660000000000002</v>
      </c>
      <c r="K60" s="7">
        <v>0.97270000000000001</v>
      </c>
      <c r="L60" s="7">
        <v>0.95979999999999999</v>
      </c>
      <c r="M60" s="7">
        <v>0.98270000000000002</v>
      </c>
      <c r="N60" s="7">
        <v>0.92259999999999998</v>
      </c>
      <c r="O60" s="7">
        <v>0.97619999999999996</v>
      </c>
      <c r="P60" s="7">
        <v>0.97430000000000005</v>
      </c>
      <c r="Q60" s="7">
        <v>0.95720000000000005</v>
      </c>
      <c r="R60" s="7">
        <v>0.95340000000000003</v>
      </c>
      <c r="S60" s="7">
        <v>0.95725000000000005</v>
      </c>
      <c r="T60" s="7">
        <v>0.877</v>
      </c>
      <c r="U60" s="7">
        <v>0.90069999999999995</v>
      </c>
      <c r="V60" s="7">
        <v>0.94469999999999998</v>
      </c>
      <c r="W60" s="7">
        <v>0.94640000000000002</v>
      </c>
      <c r="X60" s="7">
        <v>0.94310000000000005</v>
      </c>
      <c r="Y60" s="7">
        <v>0.85860000000000003</v>
      </c>
      <c r="Z60" s="7">
        <v>0.92259999999999998</v>
      </c>
      <c r="AA60" s="7"/>
    </row>
    <row r="61" spans="1:27">
      <c r="A61" s="42" t="s">
        <v>96</v>
      </c>
      <c r="B61" s="5" t="s">
        <v>134</v>
      </c>
      <c r="C61" s="7"/>
      <c r="D61" s="7">
        <v>0.48</v>
      </c>
      <c r="E61" s="7">
        <v>0.43</v>
      </c>
      <c r="F61" s="7">
        <v>0.82</v>
      </c>
      <c r="G61" s="7">
        <v>0.8</v>
      </c>
      <c r="H61" s="7">
        <v>0.82</v>
      </c>
      <c r="I61" s="7">
        <v>0.8</v>
      </c>
      <c r="J61" s="7">
        <v>0.83</v>
      </c>
      <c r="K61" s="7">
        <v>0.84</v>
      </c>
      <c r="L61" s="7">
        <v>0.83</v>
      </c>
      <c r="M61" s="7">
        <v>0.82</v>
      </c>
      <c r="N61" s="7">
        <v>0.8</v>
      </c>
      <c r="O61" s="7">
        <v>0.83</v>
      </c>
      <c r="P61" s="7">
        <v>0.78</v>
      </c>
      <c r="Q61" s="7">
        <v>0.79</v>
      </c>
      <c r="R61" s="7">
        <v>0.8</v>
      </c>
      <c r="S61" s="7">
        <v>0.79</v>
      </c>
      <c r="T61" s="7">
        <v>0.74</v>
      </c>
      <c r="U61" s="7">
        <v>0.75</v>
      </c>
      <c r="V61" s="7">
        <v>0.77</v>
      </c>
      <c r="W61" s="7">
        <v>0.8</v>
      </c>
      <c r="X61" s="7">
        <v>0.82</v>
      </c>
      <c r="Y61" s="7">
        <v>0.68</v>
      </c>
      <c r="Z61" s="7">
        <v>0.71</v>
      </c>
      <c r="AA61" s="7"/>
    </row>
    <row r="62" spans="1:27">
      <c r="A62" s="42" t="s">
        <v>96</v>
      </c>
      <c r="B62" s="5" t="s">
        <v>135</v>
      </c>
      <c r="C62" s="7"/>
      <c r="D62" s="7"/>
      <c r="E62" s="7"/>
      <c r="F62" s="7">
        <v>0.82</v>
      </c>
      <c r="G62" s="7">
        <v>0.83</v>
      </c>
      <c r="H62" s="7">
        <v>0.86</v>
      </c>
      <c r="I62" s="7">
        <v>0.86</v>
      </c>
      <c r="J62" s="7">
        <v>0.86</v>
      </c>
      <c r="K62" s="7">
        <v>0.88</v>
      </c>
      <c r="L62" s="7">
        <v>0.86</v>
      </c>
      <c r="M62" s="7">
        <v>0.86</v>
      </c>
      <c r="N62" s="7">
        <v>0.86</v>
      </c>
      <c r="O62" s="7">
        <v>0.86</v>
      </c>
      <c r="P62" s="7">
        <v>0.82</v>
      </c>
      <c r="Q62" s="7">
        <v>0.84</v>
      </c>
      <c r="R62" s="7">
        <v>0.84</v>
      </c>
      <c r="S62" s="7">
        <v>0.81</v>
      </c>
      <c r="T62" s="7">
        <v>0.76</v>
      </c>
      <c r="U62" s="7">
        <v>0.76</v>
      </c>
      <c r="V62" s="7">
        <v>0.79</v>
      </c>
      <c r="W62" s="7">
        <v>0.83</v>
      </c>
      <c r="X62" s="7">
        <v>0.84</v>
      </c>
      <c r="Y62" s="7">
        <v>0.73</v>
      </c>
      <c r="Z62" s="7">
        <v>0.77</v>
      </c>
      <c r="AA62" s="7"/>
    </row>
    <row r="63" spans="1:27">
      <c r="A63" s="42" t="s">
        <v>96</v>
      </c>
      <c r="B63" s="102" t="s">
        <v>136</v>
      </c>
      <c r="C63" s="103"/>
      <c r="D63" s="103"/>
      <c r="E63" s="103"/>
      <c r="F63" s="103"/>
      <c r="G63" s="103"/>
      <c r="H63" s="103"/>
      <c r="I63" s="103"/>
      <c r="J63" s="103"/>
      <c r="K63" s="103"/>
      <c r="L63" s="103"/>
      <c r="M63" s="103"/>
      <c r="N63" s="103"/>
      <c r="O63" s="103"/>
      <c r="P63" s="103"/>
      <c r="Q63" s="103"/>
      <c r="R63" s="103"/>
      <c r="S63" s="103"/>
      <c r="T63" s="103"/>
      <c r="U63" s="103"/>
      <c r="V63" s="103"/>
      <c r="W63" s="103"/>
      <c r="X63" s="103"/>
      <c r="Y63" s="103"/>
      <c r="Z63" s="103"/>
      <c r="AA63" s="103"/>
    </row>
    <row r="64" spans="1:27">
      <c r="A64" s="42" t="s">
        <v>96</v>
      </c>
      <c r="B64" s="5" t="s">
        <v>137</v>
      </c>
      <c r="C64" s="7"/>
      <c r="D64" s="7"/>
      <c r="E64" s="7"/>
      <c r="F64" s="7"/>
      <c r="G64" s="7"/>
      <c r="H64" s="7"/>
      <c r="I64" s="7"/>
      <c r="J64" s="7"/>
      <c r="K64" s="7"/>
      <c r="L64" s="7"/>
      <c r="M64" s="7"/>
      <c r="N64" s="7"/>
      <c r="O64" s="7"/>
      <c r="P64" s="7"/>
      <c r="Q64" s="7"/>
      <c r="R64" s="7"/>
      <c r="S64" s="7">
        <v>0.8</v>
      </c>
      <c r="T64" s="7">
        <v>0.69</v>
      </c>
      <c r="U64" s="7">
        <v>0.83</v>
      </c>
      <c r="V64" s="7">
        <v>0.82</v>
      </c>
      <c r="W64" s="7">
        <v>0.85</v>
      </c>
      <c r="X64" s="7">
        <v>0.87</v>
      </c>
      <c r="Y64" s="7">
        <v>0.69</v>
      </c>
      <c r="Z64" s="7">
        <v>0.73</v>
      </c>
      <c r="AA64" s="7"/>
    </row>
    <row r="65" spans="1:29">
      <c r="A65" s="42" t="s">
        <v>96</v>
      </c>
      <c r="B65" s="16" t="s">
        <v>31</v>
      </c>
      <c r="C65" s="17">
        <v>0.95</v>
      </c>
      <c r="D65" s="17">
        <v>0.95</v>
      </c>
      <c r="E65" s="17">
        <v>0.95</v>
      </c>
      <c r="F65" s="17">
        <v>0.95</v>
      </c>
      <c r="G65" s="17">
        <v>0.95</v>
      </c>
      <c r="H65" s="17">
        <v>0.95</v>
      </c>
      <c r="I65" s="17">
        <v>0.95</v>
      </c>
      <c r="J65" s="17">
        <v>0.95</v>
      </c>
      <c r="K65" s="17">
        <v>0.95</v>
      </c>
      <c r="L65" s="17">
        <v>0.95</v>
      </c>
      <c r="M65" s="17">
        <v>0.95</v>
      </c>
      <c r="N65" s="17">
        <v>0.95</v>
      </c>
      <c r="O65" s="17">
        <v>0.95</v>
      </c>
      <c r="P65" s="17">
        <v>0.95</v>
      </c>
      <c r="Q65" s="17">
        <v>0.95</v>
      </c>
      <c r="R65" s="17">
        <v>0.95</v>
      </c>
      <c r="S65" s="17">
        <v>0.95</v>
      </c>
      <c r="T65" s="17">
        <v>0.95</v>
      </c>
      <c r="U65" s="17">
        <v>0.95</v>
      </c>
      <c r="V65" s="17">
        <v>0.95</v>
      </c>
      <c r="W65" s="17">
        <v>0.95</v>
      </c>
      <c r="X65" s="17">
        <v>0.95</v>
      </c>
      <c r="Y65" s="17">
        <v>0.95</v>
      </c>
      <c r="Z65" s="17">
        <v>0.95</v>
      </c>
      <c r="AA65" s="17">
        <v>0.95</v>
      </c>
    </row>
    <row r="66" spans="1:29">
      <c r="A66" s="45">
        <v>0</v>
      </c>
      <c r="B66" s="5"/>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1:29">
      <c r="A67" s="41" t="s">
        <v>75</v>
      </c>
      <c r="B67" s="5" t="s">
        <v>32</v>
      </c>
      <c r="C67" s="7">
        <v>1.5301123522816543E-2</v>
      </c>
      <c r="D67" s="46">
        <v>1.89E-2</v>
      </c>
      <c r="E67" s="7">
        <v>0.02</v>
      </c>
      <c r="F67" s="7">
        <v>1.4999999999999999E-2</v>
      </c>
      <c r="G67" s="7">
        <v>1.5808652807191837E-2</v>
      </c>
      <c r="H67" s="7">
        <v>2.0500000000000001E-2</v>
      </c>
      <c r="I67" s="7">
        <v>1.4E-2</v>
      </c>
      <c r="J67" s="7">
        <v>1.9E-2</v>
      </c>
      <c r="K67" s="7">
        <v>2.2080248985996476E-2</v>
      </c>
      <c r="L67" s="7">
        <v>1.5529771603882093E-2</v>
      </c>
      <c r="M67" s="7">
        <v>2.3E-2</v>
      </c>
      <c r="N67" s="7">
        <v>1.7999999999999999E-2</v>
      </c>
      <c r="O67" s="7">
        <v>1.4044846627539026E-2</v>
      </c>
      <c r="P67" s="7">
        <v>2.6349933301596119E-2</v>
      </c>
      <c r="Q67" s="7">
        <v>0.02</v>
      </c>
      <c r="R67" s="7">
        <v>1.7000000000000001E-2</v>
      </c>
      <c r="S67" s="7">
        <v>1.7999999999999999E-2</v>
      </c>
      <c r="T67" s="7">
        <v>1.6E-2</v>
      </c>
      <c r="U67" s="7">
        <v>1.3100000000000001E-2</v>
      </c>
      <c r="V67" s="7">
        <v>2.4E-2</v>
      </c>
      <c r="W67" s="7">
        <v>2.3E-2</v>
      </c>
      <c r="X67" s="7">
        <v>1.4999999999999999E-2</v>
      </c>
      <c r="Y67" s="7">
        <v>2.8000000000000001E-2</v>
      </c>
      <c r="Z67" s="7">
        <v>2.1000000000000001E-2</v>
      </c>
      <c r="AA67" s="7"/>
    </row>
    <row r="68" spans="1:29">
      <c r="A68" s="41" t="s">
        <v>75</v>
      </c>
      <c r="B68" s="16" t="s">
        <v>33</v>
      </c>
      <c r="C68" s="44">
        <v>1.7999999999999999E-2</v>
      </c>
      <c r="D68" s="44">
        <v>1.7999999999999999E-2</v>
      </c>
      <c r="E68" s="44">
        <v>1.7000000000000001E-2</v>
      </c>
      <c r="F68" s="44">
        <v>1.7000000000000001E-2</v>
      </c>
      <c r="G68" s="44">
        <v>1.7999999999999999E-2</v>
      </c>
      <c r="H68" s="44">
        <v>1.8700000000000001E-2</v>
      </c>
      <c r="I68" s="44">
        <v>1.9900000000000001E-2</v>
      </c>
      <c r="J68" s="44">
        <v>1.7999999999999999E-2</v>
      </c>
      <c r="K68" s="44">
        <v>1.8159102075376184E-2</v>
      </c>
      <c r="L68" s="44">
        <v>1.8159102075376184E-2</v>
      </c>
      <c r="M68" s="44">
        <v>1.8159102075376184E-2</v>
      </c>
      <c r="N68" s="44">
        <v>1.8159102075376184E-2</v>
      </c>
      <c r="O68" s="44">
        <v>1.8159102075376184E-2</v>
      </c>
      <c r="P68" s="44">
        <v>1.8159102075376184E-2</v>
      </c>
      <c r="Q68" s="44">
        <v>1.8159102075376184E-2</v>
      </c>
      <c r="R68" s="44">
        <v>1.8159102075376184E-2</v>
      </c>
      <c r="S68" s="44">
        <v>1.8159102075376184E-2</v>
      </c>
      <c r="T68" s="44">
        <v>1.8159102075376184E-2</v>
      </c>
      <c r="U68" s="44">
        <v>1.8159102075376184E-2</v>
      </c>
      <c r="V68" s="44">
        <v>1.9E-2</v>
      </c>
      <c r="W68" s="44">
        <v>1.9E-2</v>
      </c>
      <c r="X68" s="44">
        <v>1.9E-2</v>
      </c>
      <c r="Y68" s="44">
        <v>0.02</v>
      </c>
      <c r="Z68" s="44">
        <v>1.9E-2</v>
      </c>
      <c r="AA68" s="44">
        <v>0.02</v>
      </c>
      <c r="AB68" s="36"/>
      <c r="AC68" s="36"/>
    </row>
    <row r="69" spans="1:29">
      <c r="I69" s="43"/>
      <c r="J69" s="43"/>
      <c r="K69" s="43"/>
      <c r="L69" s="43"/>
      <c r="M69" s="43"/>
    </row>
    <row r="70" spans="1:29">
      <c r="B70" s="107" t="s">
        <v>153</v>
      </c>
      <c r="C70" s="107"/>
      <c r="D70" s="107"/>
      <c r="E70" s="107"/>
      <c r="F70" s="107"/>
      <c r="G70" s="106">
        <v>21</v>
      </c>
      <c r="H70" s="106">
        <f>21-2</f>
        <v>19</v>
      </c>
      <c r="I70" s="106">
        <v>17</v>
      </c>
      <c r="J70" s="106">
        <v>20</v>
      </c>
      <c r="K70" s="106">
        <v>21</v>
      </c>
      <c r="L70" s="106">
        <v>22</v>
      </c>
      <c r="M70" s="106">
        <v>18</v>
      </c>
      <c r="N70" s="106">
        <v>19</v>
      </c>
      <c r="O70" s="106">
        <v>23</v>
      </c>
      <c r="P70" s="106">
        <v>21</v>
      </c>
      <c r="Q70" s="106">
        <v>22</v>
      </c>
      <c r="R70" s="106">
        <v>23</v>
      </c>
      <c r="S70" s="106">
        <v>19</v>
      </c>
      <c r="T70" s="106">
        <v>22</v>
      </c>
      <c r="U70" s="112">
        <v>15</v>
      </c>
    </row>
    <row r="71" spans="1:29" ht="15" thickBot="1">
      <c r="B71" s="108" t="s">
        <v>154</v>
      </c>
      <c r="C71" s="107"/>
      <c r="D71" s="109"/>
      <c r="E71" s="109"/>
      <c r="F71" s="107"/>
      <c r="G71" s="120">
        <v>388636</v>
      </c>
      <c r="H71" s="120">
        <v>238167</v>
      </c>
      <c r="I71" s="120">
        <v>353115</v>
      </c>
      <c r="J71" s="120">
        <v>249344</v>
      </c>
      <c r="K71" s="120">
        <v>320921</v>
      </c>
      <c r="L71" s="120">
        <v>441582</v>
      </c>
      <c r="M71" s="120">
        <v>230898</v>
      </c>
      <c r="N71" s="120">
        <v>318895</v>
      </c>
      <c r="O71" s="121">
        <v>409426</v>
      </c>
      <c r="P71" s="120">
        <v>247111</v>
      </c>
      <c r="Q71" s="120">
        <v>366189</v>
      </c>
      <c r="R71" s="120">
        <v>472365</v>
      </c>
      <c r="S71" s="120">
        <v>312170</v>
      </c>
      <c r="T71" s="120">
        <v>349538</v>
      </c>
      <c r="U71" s="121">
        <v>406275</v>
      </c>
    </row>
    <row r="72" spans="1:29" s="110" customFormat="1" ht="15" thickBot="1">
      <c r="B72" s="114" t="s">
        <v>156</v>
      </c>
      <c r="C72" s="115"/>
      <c r="D72" s="115"/>
      <c r="E72" s="115"/>
      <c r="F72" s="115"/>
      <c r="G72" s="116">
        <f t="shared" ref="G72:U72" si="13">G71/G70</f>
        <v>18506.476190476191</v>
      </c>
      <c r="H72" s="116">
        <f t="shared" si="13"/>
        <v>12535.105263157895</v>
      </c>
      <c r="I72" s="116">
        <f t="shared" si="13"/>
        <v>20771.470588235294</v>
      </c>
      <c r="J72" s="116">
        <f t="shared" si="13"/>
        <v>12467.2</v>
      </c>
      <c r="K72" s="116">
        <f t="shared" si="13"/>
        <v>15281.952380952382</v>
      </c>
      <c r="L72" s="116">
        <f t="shared" si="13"/>
        <v>20071.909090909092</v>
      </c>
      <c r="M72" s="116">
        <f t="shared" si="13"/>
        <v>12827.666666666666</v>
      </c>
      <c r="N72" s="116">
        <f t="shared" si="13"/>
        <v>16783.947368421053</v>
      </c>
      <c r="O72" s="116">
        <f t="shared" si="13"/>
        <v>17801.130434782608</v>
      </c>
      <c r="P72" s="116">
        <f t="shared" si="13"/>
        <v>11767.190476190477</v>
      </c>
      <c r="Q72" s="116">
        <f t="shared" si="13"/>
        <v>16644.954545454544</v>
      </c>
      <c r="R72" s="116">
        <f t="shared" si="13"/>
        <v>20537.608695652172</v>
      </c>
      <c r="S72" s="116">
        <f t="shared" si="13"/>
        <v>16430</v>
      </c>
      <c r="T72" s="117">
        <f t="shared" si="13"/>
        <v>15888.09090909091</v>
      </c>
      <c r="U72" s="113">
        <f t="shared" si="13"/>
        <v>27085</v>
      </c>
      <c r="V72" s="52">
        <f t="shared" ref="V72:AA72" si="14">U72/I72-1</f>
        <v>0.3039519703212834</v>
      </c>
      <c r="W72" s="52">
        <f t="shared" si="14"/>
        <v>-0.99997561986891037</v>
      </c>
      <c r="X72" s="52">
        <f t="shared" si="14"/>
        <v>-1.0000654350697438</v>
      </c>
      <c r="Y72" s="52">
        <f t="shared" si="14"/>
        <v>-1.000049824131354</v>
      </c>
      <c r="Z72" s="52">
        <f t="shared" si="14"/>
        <v>-1.0000779603843877</v>
      </c>
      <c r="AA72" s="52">
        <f t="shared" si="14"/>
        <v>-1.0000595853846792</v>
      </c>
      <c r="AB72" s="43" t="s">
        <v>155</v>
      </c>
    </row>
    <row r="73" spans="1:29" ht="15" thickBot="1">
      <c r="B73" s="111" t="s">
        <v>157</v>
      </c>
      <c r="C73" s="107"/>
      <c r="D73" s="107"/>
      <c r="E73" s="107"/>
      <c r="F73" s="107"/>
      <c r="G73" s="118">
        <f>G27/G70</f>
        <v>806.85714285714289</v>
      </c>
      <c r="H73" s="118">
        <f t="shared" ref="H73:U73" si="15">H27/H70</f>
        <v>812.9473684212677</v>
      </c>
      <c r="I73" s="118">
        <f t="shared" si="15"/>
        <v>924.05882352961169</v>
      </c>
      <c r="J73" s="118">
        <f t="shared" si="15"/>
        <v>767.80000000016503</v>
      </c>
      <c r="K73" s="118">
        <f t="shared" si="15"/>
        <v>836.66666666692458</v>
      </c>
      <c r="L73" s="118">
        <f t="shared" si="15"/>
        <v>846.18181818181813</v>
      </c>
      <c r="M73" s="118">
        <f t="shared" si="15"/>
        <v>842.83333333333337</v>
      </c>
      <c r="N73" s="118">
        <f t="shared" si="15"/>
        <v>898.7894736844238</v>
      </c>
      <c r="O73" s="118">
        <f t="shared" si="15"/>
        <v>800.00000000001569</v>
      </c>
      <c r="P73" s="118">
        <f t="shared" si="15"/>
        <v>843.76190476210002</v>
      </c>
      <c r="Q73" s="118">
        <f t="shared" si="15"/>
        <v>1005.3181818181819</v>
      </c>
      <c r="R73" s="118">
        <f t="shared" si="15"/>
        <v>915.13043478260875</v>
      </c>
      <c r="S73" s="118">
        <f t="shared" si="15"/>
        <v>932.15789473684208</v>
      </c>
      <c r="T73" s="119">
        <f t="shared" si="15"/>
        <v>908.09090909090912</v>
      </c>
      <c r="U73" s="113">
        <f t="shared" si="15"/>
        <v>1078.5333333333333</v>
      </c>
    </row>
  </sheetData>
  <autoFilter ref="A2:AA68" xr:uid="{29ADBAA5-9991-4417-8C6C-E985B9DAA390}"/>
  <conditionalFormatting sqref="C43:N43">
    <cfRule type="colorScale" priority="5">
      <colorScale>
        <cfvo type="min"/>
        <cfvo type="num" val="0.85"/>
        <cfvo type="max"/>
        <color theme="5" tint="0.39997558519241921"/>
        <color theme="0"/>
        <color theme="4" tint="0.39997558519241921"/>
      </colorScale>
    </cfRule>
  </conditionalFormatting>
  <conditionalFormatting sqref="C50:N51">
    <cfRule type="colorScale" priority="9">
      <colorScale>
        <cfvo type="min"/>
        <cfvo type="num" val="0.85"/>
        <cfvo type="max"/>
        <color theme="5" tint="0.39997558519241921"/>
        <color theme="0"/>
        <color theme="4" tint="0.39997558519241921"/>
      </colorScale>
    </cfRule>
  </conditionalFormatting>
  <conditionalFormatting sqref="C43:AA43">
    <cfRule type="colorScale" priority="18">
      <colorScale>
        <cfvo type="min"/>
        <cfvo type="num" val="0.2"/>
        <cfvo type="max"/>
        <color theme="5" tint="0.39997558519241921"/>
        <color theme="7" tint="0.79998168889431442"/>
        <color theme="4" tint="0.39997558519241921"/>
      </colorScale>
    </cfRule>
  </conditionalFormatting>
  <conditionalFormatting sqref="C50:AA51">
    <cfRule type="colorScale" priority="16">
      <colorScale>
        <cfvo type="min"/>
        <cfvo type="num" val="0.85"/>
        <cfvo type="max"/>
        <color theme="5" tint="0.39997558519241921"/>
        <color theme="0"/>
        <color theme="4" tint="0.39997558519241921"/>
      </colorScale>
    </cfRule>
  </conditionalFormatting>
  <conditionalFormatting sqref="G72:Z72">
    <cfRule type="colorScale" priority="1">
      <colorScale>
        <cfvo type="min"/>
        <cfvo type="percentile" val="50"/>
        <cfvo type="max"/>
        <color rgb="FF5A8AC6"/>
        <color rgb="FFFCFCFF"/>
        <color rgb="FFF8696B"/>
      </colorScale>
    </cfRule>
  </conditionalFormatting>
  <conditionalFormatting sqref="G73:Z73">
    <cfRule type="colorScale" priority="2">
      <colorScale>
        <cfvo type="min"/>
        <cfvo type="percentile" val="50"/>
        <cfvo type="max"/>
        <color rgb="FF5A8AC6"/>
        <color rgb="FFFCFCFF"/>
        <color rgb="FFF8696B"/>
      </colorScale>
    </cfRule>
  </conditionalFormatting>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B0675-7FB1-48FF-A9EE-9738AD6EC24C}">
  <dimension ref="A1:IM7"/>
  <sheetViews>
    <sheetView showGridLines="0" zoomScaleNormal="100" workbookViewId="0">
      <pane xSplit="1" ySplit="1" topLeftCell="B2" activePane="bottomRight" state="frozen"/>
      <selection pane="topRight" activeCell="B1" sqref="B1"/>
      <selection pane="bottomLeft" activeCell="A2" sqref="A2"/>
      <selection pane="bottomRight" activeCell="HO18" sqref="HO18"/>
    </sheetView>
  </sheetViews>
  <sheetFormatPr defaultRowHeight="14.4"/>
  <cols>
    <col min="1" max="1" width="19" customWidth="1"/>
    <col min="2" max="18" width="10.109375" customWidth="1"/>
    <col min="19" max="51" width="10.44140625" customWidth="1"/>
    <col min="52" max="81" width="10.109375" customWidth="1"/>
    <col min="82" max="247" width="10.88671875" customWidth="1"/>
    <col min="248" max="249" width="10.109375" bestFit="1" customWidth="1"/>
  </cols>
  <sheetData>
    <row r="1" spans="1:247">
      <c r="A1" s="76" t="s">
        <v>36</v>
      </c>
      <c r="B1" s="77">
        <v>44253</v>
      </c>
      <c r="C1" s="77">
        <v>44267</v>
      </c>
      <c r="D1" s="77">
        <v>44281</v>
      </c>
      <c r="E1" s="77">
        <v>44288</v>
      </c>
      <c r="F1" s="77">
        <v>44295</v>
      </c>
      <c r="G1" s="77">
        <v>44302</v>
      </c>
      <c r="H1" s="77">
        <v>44309</v>
      </c>
      <c r="I1" s="77">
        <v>44316</v>
      </c>
      <c r="J1" s="77">
        <v>44323</v>
      </c>
      <c r="K1" s="77">
        <v>44330</v>
      </c>
      <c r="L1" s="77">
        <v>44337</v>
      </c>
      <c r="M1" s="77">
        <v>44344</v>
      </c>
      <c r="N1" s="77">
        <v>44351</v>
      </c>
      <c r="O1" s="77">
        <v>44379</v>
      </c>
      <c r="P1" s="77">
        <v>44386</v>
      </c>
      <c r="Q1" s="77">
        <v>44407</v>
      </c>
      <c r="R1" s="77">
        <v>44414</v>
      </c>
      <c r="S1" s="77">
        <v>44420</v>
      </c>
      <c r="T1" s="77">
        <v>44427</v>
      </c>
      <c r="U1" s="77">
        <v>44435</v>
      </c>
      <c r="V1" s="77">
        <v>44441</v>
      </c>
      <c r="W1" s="77">
        <v>44448</v>
      </c>
      <c r="X1" s="77">
        <v>44456</v>
      </c>
      <c r="Y1" s="77">
        <v>44462</v>
      </c>
      <c r="Z1" s="77">
        <v>44476</v>
      </c>
      <c r="AA1" s="77">
        <v>44482</v>
      </c>
      <c r="AB1" s="77">
        <v>44490</v>
      </c>
      <c r="AC1" s="77">
        <v>44497</v>
      </c>
      <c r="AD1" s="77">
        <v>44504</v>
      </c>
      <c r="AE1" s="77">
        <v>44512</v>
      </c>
      <c r="AF1" s="77">
        <v>44519</v>
      </c>
      <c r="AG1" s="77">
        <v>44529</v>
      </c>
      <c r="AH1" s="77">
        <v>44533</v>
      </c>
      <c r="AI1" s="77">
        <v>44539</v>
      </c>
      <c r="AJ1" s="77">
        <v>44546</v>
      </c>
      <c r="AK1" s="77">
        <v>44553</v>
      </c>
      <c r="AL1" s="77">
        <v>44560</v>
      </c>
      <c r="AM1" s="77">
        <v>44574</v>
      </c>
      <c r="AN1" s="77">
        <v>44581</v>
      </c>
      <c r="AO1" s="77">
        <v>44588</v>
      </c>
      <c r="AP1" s="77">
        <v>44595</v>
      </c>
      <c r="AQ1" s="77">
        <v>44602</v>
      </c>
      <c r="AR1" s="77">
        <v>44609</v>
      </c>
      <c r="AS1" s="77">
        <v>44616</v>
      </c>
      <c r="AT1" s="77">
        <v>44622</v>
      </c>
      <c r="AU1" s="77">
        <v>44630</v>
      </c>
      <c r="AV1" s="77">
        <v>44637</v>
      </c>
      <c r="AW1" s="77">
        <v>44643</v>
      </c>
      <c r="AX1" s="77">
        <v>44651</v>
      </c>
      <c r="AY1" s="77">
        <v>44658</v>
      </c>
      <c r="AZ1" s="77">
        <v>44665</v>
      </c>
      <c r="BA1" s="77">
        <v>44672</v>
      </c>
      <c r="BB1" s="77">
        <v>44679</v>
      </c>
      <c r="BC1" s="77">
        <v>44686</v>
      </c>
      <c r="BD1" s="77">
        <v>44693</v>
      </c>
      <c r="BE1" s="77">
        <v>44700</v>
      </c>
      <c r="BF1" s="77">
        <v>44707</v>
      </c>
      <c r="BG1" s="77">
        <v>44714</v>
      </c>
      <c r="BH1" s="77">
        <v>44728</v>
      </c>
      <c r="BI1" s="77">
        <v>44735</v>
      </c>
      <c r="BJ1" s="77">
        <v>44742</v>
      </c>
      <c r="BK1" s="77">
        <v>44749</v>
      </c>
      <c r="BL1" s="77">
        <v>44763</v>
      </c>
      <c r="BM1" s="77">
        <v>44770</v>
      </c>
      <c r="BN1" s="77">
        <v>44777</v>
      </c>
      <c r="BO1" s="77">
        <v>44784</v>
      </c>
      <c r="BP1" s="77">
        <v>44791</v>
      </c>
      <c r="BQ1" s="77">
        <v>44798</v>
      </c>
      <c r="BR1" s="77">
        <v>44805</v>
      </c>
      <c r="BS1" s="77">
        <v>44812</v>
      </c>
      <c r="BT1" s="77">
        <v>44819</v>
      </c>
      <c r="BU1" s="77">
        <v>44826</v>
      </c>
      <c r="BV1" s="77">
        <v>44840</v>
      </c>
      <c r="BW1" s="77">
        <v>44847</v>
      </c>
      <c r="BX1" s="77">
        <v>44854</v>
      </c>
      <c r="BY1" s="77">
        <v>44861</v>
      </c>
      <c r="BZ1" s="77">
        <v>44868</v>
      </c>
      <c r="CA1" s="77">
        <v>44875</v>
      </c>
      <c r="CB1" s="77">
        <v>44882</v>
      </c>
      <c r="CC1" s="77">
        <v>44889</v>
      </c>
      <c r="CD1" s="77">
        <v>44896</v>
      </c>
      <c r="CE1" s="77">
        <v>44903</v>
      </c>
      <c r="CF1" s="77">
        <v>44910</v>
      </c>
      <c r="CG1" s="77">
        <v>44917</v>
      </c>
      <c r="CH1" s="77">
        <v>44924</v>
      </c>
      <c r="CI1" s="77">
        <v>44938</v>
      </c>
      <c r="CJ1" s="77">
        <v>44945</v>
      </c>
      <c r="CK1" s="77">
        <v>44952</v>
      </c>
      <c r="CL1" s="77">
        <v>44959</v>
      </c>
      <c r="CM1" s="77">
        <v>44966</v>
      </c>
      <c r="CN1" s="77">
        <v>44973</v>
      </c>
      <c r="CO1" s="77">
        <v>44978</v>
      </c>
      <c r="CP1" s="77">
        <v>44987</v>
      </c>
      <c r="CQ1" s="77">
        <v>44994</v>
      </c>
      <c r="CR1" s="77">
        <v>45001</v>
      </c>
      <c r="CS1" s="77">
        <v>45008</v>
      </c>
      <c r="CT1" s="77">
        <v>45015</v>
      </c>
      <c r="CU1" s="77">
        <v>45022</v>
      </c>
      <c r="CV1" s="77">
        <v>45029</v>
      </c>
      <c r="CW1" s="77">
        <v>45036</v>
      </c>
      <c r="CX1" s="77">
        <v>45043</v>
      </c>
      <c r="CY1" s="77">
        <v>45050</v>
      </c>
      <c r="CZ1" s="77">
        <v>45057</v>
      </c>
      <c r="DA1" s="77">
        <v>45064</v>
      </c>
      <c r="DB1" s="77">
        <v>45071</v>
      </c>
      <c r="DC1" s="77">
        <v>45078</v>
      </c>
      <c r="DD1" s="77">
        <v>45085</v>
      </c>
      <c r="DE1" s="77">
        <v>45092</v>
      </c>
      <c r="DF1" s="77">
        <v>45099</v>
      </c>
      <c r="DG1" s="77">
        <v>45106</v>
      </c>
      <c r="DH1" s="77">
        <v>45113</v>
      </c>
      <c r="DI1" s="77">
        <v>45120</v>
      </c>
      <c r="DJ1" s="77">
        <v>45127</v>
      </c>
      <c r="DK1" s="77">
        <v>45134</v>
      </c>
      <c r="DL1" s="77">
        <v>45141</v>
      </c>
      <c r="DM1" s="77">
        <v>45148</v>
      </c>
      <c r="DN1" s="77">
        <v>45155</v>
      </c>
      <c r="DO1" s="77">
        <v>45162</v>
      </c>
      <c r="DP1" s="77">
        <v>45169</v>
      </c>
      <c r="DQ1" s="77">
        <v>45176</v>
      </c>
      <c r="DR1" s="77">
        <v>45183</v>
      </c>
      <c r="DS1" s="77">
        <v>45190</v>
      </c>
      <c r="DT1" s="77">
        <v>45197</v>
      </c>
      <c r="DU1" s="77">
        <v>45204</v>
      </c>
      <c r="DV1" s="77">
        <v>45211</v>
      </c>
      <c r="DW1" s="77">
        <v>45217</v>
      </c>
      <c r="DX1" s="77">
        <v>45225</v>
      </c>
      <c r="DY1" s="77">
        <v>45232</v>
      </c>
      <c r="DZ1" s="77">
        <v>45239</v>
      </c>
      <c r="EA1" s="77">
        <v>45246</v>
      </c>
      <c r="EB1" s="77">
        <v>45253</v>
      </c>
      <c r="EC1" s="77">
        <v>45260</v>
      </c>
      <c r="ED1" s="77">
        <v>45267</v>
      </c>
      <c r="EE1" s="77">
        <v>45274</v>
      </c>
      <c r="EF1" s="77">
        <v>45281</v>
      </c>
      <c r="EG1" s="77">
        <v>45288</v>
      </c>
      <c r="EH1" s="77">
        <v>45302</v>
      </c>
      <c r="EI1" s="77">
        <v>45309</v>
      </c>
      <c r="EJ1" s="77">
        <v>45316</v>
      </c>
      <c r="EK1" s="77">
        <v>45323</v>
      </c>
      <c r="EL1" s="77">
        <v>45330</v>
      </c>
      <c r="EM1" s="77">
        <v>45337</v>
      </c>
      <c r="EN1" s="77">
        <v>45344</v>
      </c>
      <c r="EO1" s="77">
        <v>45351</v>
      </c>
      <c r="EP1" s="77">
        <v>45358</v>
      </c>
      <c r="EQ1" s="77">
        <v>45365</v>
      </c>
      <c r="ER1" s="77">
        <v>45372</v>
      </c>
      <c r="ES1" s="77">
        <v>45379</v>
      </c>
      <c r="ET1" s="77">
        <v>45386</v>
      </c>
      <c r="EU1" s="77">
        <v>45393</v>
      </c>
      <c r="EV1" s="77">
        <v>45400</v>
      </c>
      <c r="EW1" s="77">
        <v>45407</v>
      </c>
      <c r="EX1" s="77">
        <v>45414</v>
      </c>
      <c r="EY1" s="77">
        <v>45413</v>
      </c>
      <c r="EZ1" s="77">
        <v>45428</v>
      </c>
      <c r="FA1" s="77">
        <v>45435</v>
      </c>
      <c r="FB1" s="77">
        <v>45442</v>
      </c>
      <c r="FC1" s="77">
        <v>45456</v>
      </c>
      <c r="FD1" s="77">
        <v>45463</v>
      </c>
      <c r="FE1" s="77">
        <v>45470</v>
      </c>
      <c r="FF1" s="77">
        <v>45477</v>
      </c>
      <c r="FG1" s="77">
        <v>45484</v>
      </c>
      <c r="FH1" s="77">
        <v>45491</v>
      </c>
      <c r="FI1" s="77">
        <v>45498</v>
      </c>
      <c r="FJ1" s="77">
        <v>45505</v>
      </c>
      <c r="FK1" s="77">
        <v>45512</v>
      </c>
      <c r="FL1" s="77">
        <v>45519</v>
      </c>
      <c r="FM1" s="77">
        <v>45526</v>
      </c>
      <c r="FN1" s="77">
        <v>45533</v>
      </c>
      <c r="FO1" s="77">
        <v>45540</v>
      </c>
      <c r="FP1" s="77">
        <v>45547</v>
      </c>
      <c r="FQ1" s="77">
        <v>45554</v>
      </c>
      <c r="FR1" s="77">
        <v>45561</v>
      </c>
      <c r="FS1" s="77">
        <v>45568</v>
      </c>
      <c r="FT1" s="77">
        <v>45575</v>
      </c>
      <c r="FU1" s="77">
        <v>45582</v>
      </c>
      <c r="FV1" s="77">
        <v>45589</v>
      </c>
      <c r="FW1" s="77">
        <v>45596</v>
      </c>
      <c r="FX1" s="77">
        <v>45603</v>
      </c>
      <c r="FY1" s="77">
        <v>45610</v>
      </c>
      <c r="FZ1" s="77">
        <v>45617</v>
      </c>
      <c r="GA1" s="77">
        <v>45624</v>
      </c>
      <c r="GB1" s="77">
        <v>45631</v>
      </c>
      <c r="GC1" s="77">
        <v>45638</v>
      </c>
      <c r="GD1" s="77">
        <v>45645</v>
      </c>
      <c r="GE1" s="77">
        <v>45666</v>
      </c>
      <c r="GF1" s="77">
        <v>45673</v>
      </c>
      <c r="GG1" s="77">
        <v>45680</v>
      </c>
      <c r="GH1" s="77">
        <v>45687</v>
      </c>
      <c r="GI1" s="77">
        <v>45701</v>
      </c>
      <c r="GJ1" s="77">
        <v>45708</v>
      </c>
      <c r="GK1" s="77">
        <v>45715</v>
      </c>
      <c r="GL1" s="77">
        <v>45722</v>
      </c>
      <c r="GM1" s="77">
        <v>45729</v>
      </c>
      <c r="GN1" s="77">
        <v>45736</v>
      </c>
      <c r="GO1" s="77">
        <v>45743</v>
      </c>
      <c r="GP1" s="77">
        <v>45750</v>
      </c>
      <c r="GQ1" s="77">
        <v>45757</v>
      </c>
      <c r="GR1" s="77">
        <v>45764</v>
      </c>
      <c r="GS1" s="77">
        <v>45771</v>
      </c>
      <c r="GT1" s="77">
        <v>45792</v>
      </c>
      <c r="GU1" s="77">
        <v>45799</v>
      </c>
      <c r="GV1" s="77">
        <v>45806</v>
      </c>
      <c r="GW1" s="77">
        <v>45813</v>
      </c>
      <c r="GX1" s="77">
        <v>45841</v>
      </c>
      <c r="GY1" s="77">
        <v>45848</v>
      </c>
      <c r="GZ1" s="77">
        <v>45855</v>
      </c>
      <c r="HA1" s="77">
        <v>45862</v>
      </c>
      <c r="HB1" s="77">
        <v>45869</v>
      </c>
      <c r="HC1" s="77">
        <v>45876</v>
      </c>
      <c r="HD1" s="77">
        <v>45883</v>
      </c>
      <c r="HE1" s="77">
        <v>45890</v>
      </c>
      <c r="HF1" s="77">
        <v>45897</v>
      </c>
      <c r="HG1" s="77">
        <v>45904</v>
      </c>
      <c r="HH1" s="77">
        <v>45925</v>
      </c>
      <c r="HI1" s="77">
        <v>45932</v>
      </c>
      <c r="HJ1" s="77">
        <v>45939</v>
      </c>
      <c r="HK1" s="77">
        <v>45946</v>
      </c>
      <c r="HL1" s="77">
        <v>45953</v>
      </c>
      <c r="HM1" s="77">
        <v>45960</v>
      </c>
      <c r="HN1" s="77">
        <v>45967</v>
      </c>
      <c r="HO1" s="77">
        <v>45974</v>
      </c>
      <c r="HP1" s="77">
        <v>45981</v>
      </c>
      <c r="HQ1" s="77">
        <v>45988</v>
      </c>
      <c r="HR1" s="77">
        <v>45995</v>
      </c>
      <c r="HS1" s="77">
        <v>46002</v>
      </c>
      <c r="HT1" s="77">
        <v>46009</v>
      </c>
      <c r="HU1" s="77">
        <v>46016</v>
      </c>
      <c r="HV1" s="77">
        <v>46038</v>
      </c>
      <c r="HW1" s="77">
        <v>46044</v>
      </c>
      <c r="HX1" s="77">
        <v>46051</v>
      </c>
      <c r="HY1" s="77">
        <v>46058</v>
      </c>
      <c r="HZ1" s="77">
        <v>46065</v>
      </c>
      <c r="IA1" s="77">
        <v>46072</v>
      </c>
      <c r="IB1" s="77">
        <v>46079</v>
      </c>
      <c r="IC1" s="77">
        <v>46085</v>
      </c>
      <c r="ID1" s="77">
        <v>46100</v>
      </c>
      <c r="IE1" s="77">
        <v>46108</v>
      </c>
      <c r="IF1" s="77">
        <v>46114</v>
      </c>
      <c r="IG1" s="77">
        <v>46128</v>
      </c>
      <c r="IH1" s="77">
        <v>46135</v>
      </c>
      <c r="II1" s="77">
        <v>46149</v>
      </c>
      <c r="IJ1" s="77">
        <v>46192</v>
      </c>
      <c r="IK1" s="77">
        <v>46199</v>
      </c>
      <c r="IL1" s="77">
        <v>46205</v>
      </c>
      <c r="IM1" s="77">
        <v>46212</v>
      </c>
    </row>
    <row r="2" spans="1:247">
      <c r="A2" s="78" t="s">
        <v>37</v>
      </c>
      <c r="B2" s="79">
        <v>0.87333333333333341</v>
      </c>
      <c r="C2" s="79">
        <v>0.94416666666666671</v>
      </c>
      <c r="D2" s="79">
        <v>0.97883333333333322</v>
      </c>
      <c r="E2" s="79">
        <v>0.97350000000000003</v>
      </c>
      <c r="F2" s="79">
        <v>0.98099999999999998</v>
      </c>
      <c r="G2" s="79">
        <v>0.98133333333333328</v>
      </c>
      <c r="H2" s="79">
        <v>0.97866666666666668</v>
      </c>
      <c r="I2" s="79">
        <v>0.97083333333333321</v>
      </c>
      <c r="J2" s="79">
        <v>0.98066666666666669</v>
      </c>
      <c r="K2" s="79">
        <v>0.98649999999999993</v>
      </c>
      <c r="L2" s="79">
        <v>0.98399999999999999</v>
      </c>
      <c r="M2" s="80">
        <v>0.98399999999999999</v>
      </c>
      <c r="N2" s="80">
        <v>0.98666666666666669</v>
      </c>
      <c r="O2" s="80">
        <v>0.95233333333333337</v>
      </c>
      <c r="P2" s="80">
        <v>0.97</v>
      </c>
      <c r="Q2" s="80">
        <v>0.97</v>
      </c>
      <c r="R2" s="80">
        <v>0.97</v>
      </c>
      <c r="S2" s="80">
        <v>0.94064285714285734</v>
      </c>
      <c r="T2" s="80">
        <v>0.9523571428571429</v>
      </c>
      <c r="U2" s="80">
        <v>0.96478571428571436</v>
      </c>
      <c r="V2" s="80">
        <v>0.97821115723820118</v>
      </c>
      <c r="W2" s="80">
        <v>0.96798650286032095</v>
      </c>
      <c r="X2" s="80">
        <v>0.98699999999999999</v>
      </c>
      <c r="Y2" s="80">
        <v>0.99</v>
      </c>
      <c r="Z2" s="80">
        <v>0.97299999999999998</v>
      </c>
      <c r="AA2" s="80">
        <v>0.97799999999999998</v>
      </c>
      <c r="AB2" s="80">
        <v>0.97836261520737333</v>
      </c>
      <c r="AC2" s="80">
        <v>0.96099999999999997</v>
      </c>
      <c r="AD2" s="80">
        <v>0.96099999999999997</v>
      </c>
      <c r="AE2" s="80">
        <v>0.95799999999999996</v>
      </c>
      <c r="AF2" s="80">
        <v>0.95599999999999996</v>
      </c>
      <c r="AG2" s="80">
        <v>0.97599999999999998</v>
      </c>
      <c r="AH2" s="80">
        <v>0.98099999999999998</v>
      </c>
      <c r="AI2" s="80">
        <v>0.98199999999999998</v>
      </c>
      <c r="AJ2" s="80">
        <v>0.98</v>
      </c>
      <c r="AK2" s="80">
        <v>0.97199999999999998</v>
      </c>
      <c r="AL2" s="80">
        <v>0.98099999999999998</v>
      </c>
      <c r="AM2" s="80">
        <v>0.99199999999999999</v>
      </c>
      <c r="AN2" s="80">
        <v>0.98899999999999999</v>
      </c>
      <c r="AO2" s="80">
        <v>0.997</v>
      </c>
      <c r="AP2" s="80">
        <v>0.99</v>
      </c>
      <c r="AQ2" s="80">
        <v>0.99</v>
      </c>
      <c r="AR2" s="80">
        <v>0.98299999999999998</v>
      </c>
      <c r="AS2" s="80">
        <v>0.97985840748980357</v>
      </c>
      <c r="AT2" s="81">
        <v>0.98617561179087876</v>
      </c>
      <c r="AU2" s="81">
        <v>0.97</v>
      </c>
      <c r="AV2" s="81">
        <v>0.96722399888765298</v>
      </c>
      <c r="AW2" s="81">
        <v>0.97142426770485713</v>
      </c>
      <c r="AX2" s="81">
        <v>0.96211647200593264</v>
      </c>
      <c r="AY2" s="82">
        <v>0.9516998053392659</v>
      </c>
      <c r="AZ2" s="82">
        <v>0.96003313867259932</v>
      </c>
      <c r="BA2" s="82">
        <v>0.95468344456803866</v>
      </c>
      <c r="BB2" s="82">
        <v>0.96899999999999997</v>
      </c>
      <c r="BC2" s="82">
        <v>0.96699999999999997</v>
      </c>
      <c r="BD2" s="82">
        <v>0.96599999999999997</v>
      </c>
      <c r="BE2" s="82">
        <v>0.97199999999999998</v>
      </c>
      <c r="BF2" s="82">
        <v>0.97299999999999998</v>
      </c>
      <c r="BG2" s="82">
        <v>0.97699999999999998</v>
      </c>
      <c r="BH2" s="82">
        <v>0.98599999999999999</v>
      </c>
      <c r="BI2" s="82">
        <v>0.98099999999999998</v>
      </c>
      <c r="BJ2" s="82">
        <v>0.97699999999999998</v>
      </c>
      <c r="BK2" s="82">
        <v>0.97899999999999998</v>
      </c>
      <c r="BL2" s="82">
        <v>0.97199999999999998</v>
      </c>
      <c r="BM2" s="82">
        <v>0.97399999999999998</v>
      </c>
      <c r="BN2" s="82">
        <v>0.97299999999999998</v>
      </c>
      <c r="BO2" s="82">
        <v>0.96499999999999997</v>
      </c>
      <c r="BP2" s="82">
        <v>0.97</v>
      </c>
      <c r="BQ2" s="82">
        <v>0.98099999999999998</v>
      </c>
      <c r="BR2" s="82">
        <v>0.97599999999999998</v>
      </c>
      <c r="BS2" s="82">
        <v>0.96699999999999997</v>
      </c>
      <c r="BT2" s="82">
        <v>0.96</v>
      </c>
      <c r="BU2" s="82">
        <v>0.96699999999999997</v>
      </c>
      <c r="BV2" s="82">
        <v>0.95899999999999996</v>
      </c>
      <c r="BW2" s="82">
        <v>0.96</v>
      </c>
      <c r="BX2" s="82">
        <v>0.96799999999999997</v>
      </c>
      <c r="BY2" s="82">
        <v>0.96599999999999997</v>
      </c>
      <c r="BZ2" s="82">
        <v>0.98</v>
      </c>
      <c r="CA2" s="82">
        <v>0.97199999999999998</v>
      </c>
      <c r="CB2" s="82">
        <v>0.96599999999999997</v>
      </c>
      <c r="CC2" s="82">
        <v>0.97399999999999998</v>
      </c>
      <c r="CD2" s="82">
        <v>0.97499999999999998</v>
      </c>
      <c r="CE2" s="82">
        <v>0.97799999999999998</v>
      </c>
      <c r="CF2" s="82">
        <v>0.97599999999999998</v>
      </c>
      <c r="CG2" s="82">
        <v>0.97199999999999998</v>
      </c>
      <c r="CH2" s="82">
        <v>0.97199999999999998</v>
      </c>
      <c r="CI2" s="82">
        <v>0.98599999999999999</v>
      </c>
      <c r="CJ2" s="82">
        <v>0.97899999999999998</v>
      </c>
      <c r="CK2" s="82">
        <v>0.98099999999999998</v>
      </c>
      <c r="CL2" s="82">
        <v>0.99299999999999999</v>
      </c>
      <c r="CM2" s="82">
        <v>0.99199999999999999</v>
      </c>
      <c r="CN2" s="82">
        <v>0.99199999999999999</v>
      </c>
      <c r="CO2" s="82">
        <v>0.99</v>
      </c>
      <c r="CP2" s="82">
        <v>0.99199999999999999</v>
      </c>
      <c r="CQ2" s="82">
        <v>0.995</v>
      </c>
      <c r="CR2" s="82">
        <v>0.99299999999999999</v>
      </c>
      <c r="CS2" s="82">
        <v>0.98899999999999999</v>
      </c>
      <c r="CT2" s="82">
        <v>0.98899999999999999</v>
      </c>
      <c r="CU2" s="82">
        <v>0.98799999999999999</v>
      </c>
      <c r="CV2" s="82">
        <v>0.99</v>
      </c>
      <c r="CW2" s="82">
        <v>0.98399999999999999</v>
      </c>
      <c r="CX2" s="82">
        <v>0.96399999999999997</v>
      </c>
      <c r="CY2" s="82">
        <v>0.99</v>
      </c>
      <c r="CZ2" s="82">
        <v>0.99099999999999999</v>
      </c>
      <c r="DA2" s="82">
        <v>0.97799999999999998</v>
      </c>
      <c r="DB2" s="82">
        <v>0.97499999999999998</v>
      </c>
      <c r="DC2" s="82">
        <v>0.98399999999999999</v>
      </c>
      <c r="DD2" s="82">
        <v>0.98</v>
      </c>
      <c r="DE2" s="82">
        <v>0.98</v>
      </c>
      <c r="DF2" s="82">
        <v>0.97599999999999998</v>
      </c>
      <c r="DG2" s="82">
        <v>0.97299999999999998</v>
      </c>
      <c r="DH2" s="82">
        <v>0.96399999999999997</v>
      </c>
      <c r="DI2" s="82">
        <v>0.97</v>
      </c>
      <c r="DJ2" s="82">
        <v>0.97</v>
      </c>
      <c r="DK2" s="82">
        <v>0.96799999999999997</v>
      </c>
      <c r="DL2" s="82">
        <v>0.95399999999999996</v>
      </c>
      <c r="DM2" s="82">
        <v>0.94</v>
      </c>
      <c r="DN2" s="82">
        <v>0.94299999999999995</v>
      </c>
      <c r="DO2" s="82">
        <v>0.93899999999999995</v>
      </c>
      <c r="DP2" s="82">
        <v>0.96099999999999997</v>
      </c>
      <c r="DQ2" s="82">
        <v>0.97</v>
      </c>
      <c r="DR2" s="82">
        <v>0.96899999999999997</v>
      </c>
      <c r="DS2" s="82">
        <v>0.96699999999999997</v>
      </c>
      <c r="DT2" s="82">
        <v>0.97</v>
      </c>
      <c r="DU2" s="82">
        <v>0.96499999999999997</v>
      </c>
      <c r="DV2" s="82">
        <v>0.97899999999999998</v>
      </c>
      <c r="DW2" s="82">
        <v>0.97499999999999998</v>
      </c>
      <c r="DX2" s="82">
        <v>0.97399999999999998</v>
      </c>
      <c r="DY2" s="82">
        <v>0.97</v>
      </c>
      <c r="DZ2" s="82">
        <v>0.97</v>
      </c>
      <c r="EA2" s="82">
        <v>0.97299999999999998</v>
      </c>
      <c r="EB2" s="82">
        <v>0.95799999999999996</v>
      </c>
      <c r="EC2" s="82">
        <v>0.95399999999999996</v>
      </c>
      <c r="ED2" s="82">
        <v>0.95499999999999996</v>
      </c>
      <c r="EE2" s="82">
        <v>0.96499999999999997</v>
      </c>
      <c r="EF2" s="82">
        <v>0.96899999999999997</v>
      </c>
      <c r="EG2" s="82">
        <v>0.97399999999999998</v>
      </c>
      <c r="EH2" s="82">
        <v>0.97499999999999998</v>
      </c>
      <c r="EI2" s="82">
        <v>0.97799999999999998</v>
      </c>
      <c r="EJ2" s="82">
        <v>0.97099999999999997</v>
      </c>
      <c r="EK2" s="82">
        <v>0.97199999999999998</v>
      </c>
      <c r="EL2" s="82">
        <v>0.96899999999999997</v>
      </c>
      <c r="EM2" s="82">
        <v>0.97199999999999998</v>
      </c>
      <c r="EN2" s="82">
        <v>0.98899999999999999</v>
      </c>
      <c r="EO2" s="82">
        <v>0.98699999999999999</v>
      </c>
      <c r="EP2" s="82">
        <v>0.97899999999999998</v>
      </c>
      <c r="EQ2" s="82">
        <v>0.98299999999999998</v>
      </c>
      <c r="ER2" s="82">
        <v>0.98699999999999999</v>
      </c>
      <c r="ES2" s="82">
        <v>0.99099999999999999</v>
      </c>
      <c r="ET2" s="82">
        <v>0.97499999999999998</v>
      </c>
      <c r="EU2" s="82">
        <v>0.97899999999999998</v>
      </c>
      <c r="EV2" s="82">
        <v>0.98099999999999998</v>
      </c>
      <c r="EW2" s="82">
        <v>0.98899999999999999</v>
      </c>
      <c r="EX2" s="82">
        <v>0.98599999999999999</v>
      </c>
      <c r="EY2" s="82">
        <v>0.98599999999999999</v>
      </c>
      <c r="EZ2" s="82">
        <v>0.98399999999999999</v>
      </c>
      <c r="FA2" s="82">
        <v>0.98899999999999999</v>
      </c>
      <c r="FB2" s="82">
        <v>0.98599999999999999</v>
      </c>
      <c r="FC2" s="82">
        <v>0.996</v>
      </c>
      <c r="FD2" s="82">
        <v>0.996</v>
      </c>
      <c r="FE2" s="82">
        <v>0.997</v>
      </c>
      <c r="FF2" s="82">
        <v>0.997</v>
      </c>
      <c r="FG2" s="82">
        <v>0.99199999999999999</v>
      </c>
      <c r="FH2" s="82">
        <v>0.99</v>
      </c>
      <c r="FI2" s="82">
        <v>0.99299999999999999</v>
      </c>
      <c r="FJ2" s="82">
        <v>0.996</v>
      </c>
      <c r="FK2" s="82">
        <v>0.996</v>
      </c>
      <c r="FL2" s="82">
        <v>0.998</v>
      </c>
      <c r="FM2" s="82">
        <v>0.99399999999999999</v>
      </c>
      <c r="FN2" s="82">
        <v>0.996</v>
      </c>
      <c r="FO2" s="82">
        <v>0.996</v>
      </c>
      <c r="FP2" s="82">
        <v>0.995</v>
      </c>
      <c r="FQ2" s="82">
        <v>0.99299999999999999</v>
      </c>
      <c r="FR2" s="82">
        <v>0.99199999999999999</v>
      </c>
      <c r="FS2" s="82">
        <v>0.99</v>
      </c>
      <c r="FT2" s="82">
        <v>0.98899999999999999</v>
      </c>
      <c r="FU2" s="82">
        <v>0.98199999999999998</v>
      </c>
      <c r="FV2" s="82">
        <v>0.97599999999999998</v>
      </c>
      <c r="FW2" s="82">
        <v>0.97199999999999998</v>
      </c>
      <c r="FX2" s="82">
        <v>0.97899999999999998</v>
      </c>
      <c r="FY2" s="82">
        <v>0.97499999999999998</v>
      </c>
      <c r="FZ2" s="82">
        <v>0.98199999999999998</v>
      </c>
      <c r="GA2" s="82">
        <v>0.97899999999999998</v>
      </c>
      <c r="GB2" s="82">
        <v>0.97699999999999998</v>
      </c>
      <c r="GC2" s="82">
        <v>0.98099999999999998</v>
      </c>
      <c r="GD2" s="82">
        <v>0.98099999999999998</v>
      </c>
      <c r="GE2" s="82">
        <v>0.98899999999999999</v>
      </c>
      <c r="GF2" s="82">
        <v>0.97799999999999998</v>
      </c>
      <c r="GG2" s="82">
        <v>0.97599999999999998</v>
      </c>
      <c r="GH2" s="82">
        <v>0.97899999999999998</v>
      </c>
      <c r="GI2" s="82">
        <v>0.98</v>
      </c>
      <c r="GJ2" s="82">
        <v>0.98299999999999998</v>
      </c>
      <c r="GK2" s="82">
        <v>0.98399999999999999</v>
      </c>
      <c r="GL2" s="82">
        <v>0.98299999999999998</v>
      </c>
      <c r="GM2" s="82">
        <v>0.98399999999999999</v>
      </c>
      <c r="GN2" s="82">
        <v>0.98499999999999999</v>
      </c>
      <c r="GO2" s="82">
        <v>0.98899999999999999</v>
      </c>
      <c r="GP2" s="82">
        <v>0.98499999999999999</v>
      </c>
      <c r="GQ2" s="82">
        <v>0.98299999999999998</v>
      </c>
      <c r="GR2" s="82">
        <v>0.98199999999999998</v>
      </c>
      <c r="GS2" s="82">
        <v>0.96899999999999997</v>
      </c>
      <c r="GT2" s="82">
        <v>0.94099999999999995</v>
      </c>
      <c r="GU2" s="82">
        <v>0.95099999999999996</v>
      </c>
      <c r="GV2" s="82">
        <v>0.96499999999999997</v>
      </c>
      <c r="GW2" s="82">
        <v>0.95899999999999996</v>
      </c>
      <c r="GX2" s="82">
        <v>0.94499999999999995</v>
      </c>
      <c r="GY2" s="82">
        <v>0.93700000000000006</v>
      </c>
      <c r="GZ2" s="82">
        <v>0.96399999999999997</v>
      </c>
      <c r="HA2" s="82">
        <v>0.95699999999999996</v>
      </c>
      <c r="HB2" s="82">
        <v>0.93200000000000005</v>
      </c>
      <c r="HC2" s="82">
        <v>0.92800000000000005</v>
      </c>
      <c r="HD2" s="82">
        <v>0.93400000000000005</v>
      </c>
      <c r="HE2" s="82">
        <v>0.95699999999999996</v>
      </c>
      <c r="HF2" s="82">
        <v>0.94099999999999995</v>
      </c>
      <c r="HG2" s="82">
        <v>0.93300000000000005</v>
      </c>
      <c r="HH2" s="82">
        <v>0.95599999999999996</v>
      </c>
      <c r="HI2" s="82">
        <v>0.97799999999999998</v>
      </c>
      <c r="HJ2" s="82">
        <v>0.96899999999999997</v>
      </c>
      <c r="HK2" s="82">
        <v>0.97099999999999997</v>
      </c>
      <c r="HL2" s="82">
        <v>0.96199999999999997</v>
      </c>
      <c r="HM2" s="82">
        <v>0.96299999999999997</v>
      </c>
      <c r="HN2" s="82">
        <v>0.96299999999999997</v>
      </c>
      <c r="HO2" s="82">
        <v>0.96399999999999997</v>
      </c>
      <c r="HP2" s="82">
        <v>0.96199999999999997</v>
      </c>
      <c r="HQ2" s="82">
        <v>0.97399999999999998</v>
      </c>
      <c r="HR2" s="82">
        <v>0.98</v>
      </c>
      <c r="HS2" s="82">
        <v>0.97899999999999998</v>
      </c>
      <c r="HT2" s="82">
        <v>0.97399999999999998</v>
      </c>
      <c r="HU2" s="82">
        <v>0.97599999999999998</v>
      </c>
      <c r="HV2" s="82">
        <v>0.97</v>
      </c>
      <c r="HW2" s="82">
        <v>0.95199999999999996</v>
      </c>
      <c r="HX2" s="82">
        <v>0.97</v>
      </c>
      <c r="HY2" s="82">
        <v>0.96599999999999997</v>
      </c>
      <c r="HZ2" s="82">
        <v>0.99</v>
      </c>
      <c r="IA2" s="82">
        <v>0.99</v>
      </c>
      <c r="IB2" s="82">
        <v>0.98799999999999999</v>
      </c>
      <c r="IC2" s="82">
        <v>0.98799999999999999</v>
      </c>
      <c r="ID2" s="82">
        <v>0.98499999999999999</v>
      </c>
      <c r="IE2" s="82">
        <v>0.98499999999999999</v>
      </c>
      <c r="IF2" s="82">
        <v>0.98499999999999999</v>
      </c>
      <c r="IG2" s="82">
        <v>0.98</v>
      </c>
      <c r="IH2" s="82">
        <v>0.97099999999999997</v>
      </c>
      <c r="II2" s="82">
        <v>0.95199999999999996</v>
      </c>
      <c r="IJ2" s="82">
        <v>0.96699999999999997</v>
      </c>
      <c r="IK2" s="82">
        <v>0.97199999999999998</v>
      </c>
      <c r="IL2" s="82">
        <v>0.97599999999999998</v>
      </c>
      <c r="IM2" s="82">
        <v>0.97399999999999998</v>
      </c>
    </row>
    <row r="3" spans="1:247">
      <c r="A3" s="78" t="s">
        <v>38</v>
      </c>
      <c r="B3" s="79">
        <v>0.93566666666666665</v>
      </c>
      <c r="C3" s="79">
        <v>0.92466666666666664</v>
      </c>
      <c r="D3" s="79">
        <v>0.93366666666666653</v>
      </c>
      <c r="E3" s="79">
        <v>0.92799999999999994</v>
      </c>
      <c r="F3" s="79">
        <v>0.93500000000000005</v>
      </c>
      <c r="G3" s="79">
        <v>0.92133333333333345</v>
      </c>
      <c r="H3" s="79">
        <v>0.92133333333333345</v>
      </c>
      <c r="I3" s="79">
        <v>0.91600000000000004</v>
      </c>
      <c r="J3" s="79">
        <v>0.95199999999999996</v>
      </c>
      <c r="K3" s="79">
        <v>0.93533333333333335</v>
      </c>
      <c r="L3" s="79">
        <v>0.92633333333333334</v>
      </c>
      <c r="M3" s="80">
        <v>0.94166666666666654</v>
      </c>
      <c r="N3" s="80">
        <v>0.96166666666666678</v>
      </c>
      <c r="O3" s="80">
        <v>0.98466666666666658</v>
      </c>
      <c r="P3" s="80">
        <v>0.99</v>
      </c>
      <c r="Q3" s="80">
        <v>0.99</v>
      </c>
      <c r="R3" s="80">
        <v>0.98</v>
      </c>
      <c r="S3" s="80">
        <v>0.98239999999999994</v>
      </c>
      <c r="T3" s="80">
        <v>0.98080000000000001</v>
      </c>
      <c r="U3" s="80">
        <v>0.97839999999999994</v>
      </c>
      <c r="V3" s="80">
        <v>0.98326059372035357</v>
      </c>
      <c r="W3" s="80">
        <v>0.98566584669945845</v>
      </c>
      <c r="X3" s="80">
        <v>0.98499999999999999</v>
      </c>
      <c r="Y3" s="80">
        <v>0.98499999999999999</v>
      </c>
      <c r="Z3" s="80">
        <v>0.99199999999999999</v>
      </c>
      <c r="AA3" s="80">
        <v>0.99</v>
      </c>
      <c r="AB3" s="80">
        <v>0.98917358686431456</v>
      </c>
      <c r="AC3" s="80">
        <v>0.98799999999999999</v>
      </c>
      <c r="AD3" s="80">
        <v>0.98899999999999999</v>
      </c>
      <c r="AE3" s="80">
        <v>0.98899999999999999</v>
      </c>
      <c r="AF3" s="80">
        <v>0.99199999999999999</v>
      </c>
      <c r="AG3" s="80">
        <v>0.99</v>
      </c>
      <c r="AH3" s="80">
        <v>0.99</v>
      </c>
      <c r="AI3" s="80">
        <v>0.98199999999999998</v>
      </c>
      <c r="AJ3" s="80">
        <v>0.97599999999999998</v>
      </c>
      <c r="AK3" s="80">
        <v>0.96899999999999997</v>
      </c>
      <c r="AL3" s="80">
        <v>0.98099999999999998</v>
      </c>
      <c r="AM3" s="80">
        <v>0.98299999999999998</v>
      </c>
      <c r="AN3" s="80">
        <v>0.97899999999999998</v>
      </c>
      <c r="AO3" s="80">
        <v>0.97699999999999998</v>
      </c>
      <c r="AP3" s="80">
        <v>0.97399999999999998</v>
      </c>
      <c r="AQ3" s="80">
        <v>0.98</v>
      </c>
      <c r="AR3" s="80">
        <v>0.97</v>
      </c>
      <c r="AS3" s="80">
        <v>0.97823857850157359</v>
      </c>
      <c r="AT3" s="81">
        <v>0.98469641252196161</v>
      </c>
      <c r="AU3" s="81">
        <v>0.97899999999999998</v>
      </c>
      <c r="AV3" s="81">
        <v>0.96374545437370696</v>
      </c>
      <c r="AW3" s="81">
        <v>0.973512640089227</v>
      </c>
      <c r="AX3" s="81">
        <v>0.96723129524945772</v>
      </c>
      <c r="AY3" s="82">
        <v>0.96653709438065927</v>
      </c>
      <c r="AZ3" s="82">
        <v>0.95689500189991283</v>
      </c>
      <c r="BA3" s="82">
        <v>0.95484225314886095</v>
      </c>
      <c r="BB3" s="82">
        <v>0.96899999999999997</v>
      </c>
      <c r="BC3" s="82">
        <v>0.96499999999999997</v>
      </c>
      <c r="BD3" s="82">
        <v>0.96</v>
      </c>
      <c r="BE3" s="82">
        <v>0.97899999999999998</v>
      </c>
      <c r="BF3" s="82">
        <v>0.97099999999999997</v>
      </c>
      <c r="BG3" s="82">
        <v>0.97599999999999998</v>
      </c>
      <c r="BH3" s="82">
        <v>0.98199999999999998</v>
      </c>
      <c r="BI3" s="82">
        <v>0.97699999999999998</v>
      </c>
      <c r="BJ3" s="82">
        <v>0.97399999999999998</v>
      </c>
      <c r="BK3" s="82">
        <v>0.97399999999999998</v>
      </c>
      <c r="BL3" s="82">
        <v>0.97699999999999998</v>
      </c>
      <c r="BM3" s="82">
        <v>0.98</v>
      </c>
      <c r="BN3" s="82">
        <v>0.98499999999999999</v>
      </c>
      <c r="BO3" s="82">
        <v>0.98</v>
      </c>
      <c r="BP3" s="82">
        <v>0.98099999999999998</v>
      </c>
      <c r="BQ3" s="82">
        <v>0.97899999999999998</v>
      </c>
      <c r="BR3" s="82">
        <v>0.97699999999999998</v>
      </c>
      <c r="BS3" s="82">
        <v>0.95899999999999996</v>
      </c>
      <c r="BT3" s="82">
        <v>0.95599999999999996</v>
      </c>
      <c r="BU3" s="82">
        <v>0.96299999999999997</v>
      </c>
      <c r="BV3" s="82">
        <v>0.97399999999999998</v>
      </c>
      <c r="BW3" s="82">
        <v>0.96399999999999997</v>
      </c>
      <c r="BX3" s="82">
        <v>0.96199999999999997</v>
      </c>
      <c r="BY3" s="82">
        <v>0.97499999999999998</v>
      </c>
      <c r="BZ3" s="82">
        <v>0.97599999999999998</v>
      </c>
      <c r="CA3" s="82">
        <v>0.96399999999999997</v>
      </c>
      <c r="CB3" s="82">
        <v>0.95699999999999996</v>
      </c>
      <c r="CC3" s="82">
        <v>0.95499999999999996</v>
      </c>
      <c r="CD3" s="82">
        <v>0.96599999999999997</v>
      </c>
      <c r="CE3" s="82">
        <v>0.95599999999999996</v>
      </c>
      <c r="CF3" s="82">
        <v>0.96199999999999997</v>
      </c>
      <c r="CG3" s="82">
        <v>0.96199999999999997</v>
      </c>
      <c r="CH3" s="82">
        <v>0.95799999999999996</v>
      </c>
      <c r="CI3" s="82">
        <v>0.96899999999999997</v>
      </c>
      <c r="CJ3" s="82">
        <v>0.97399999999999998</v>
      </c>
      <c r="CK3" s="82">
        <v>0.97399999999999998</v>
      </c>
      <c r="CL3" s="82">
        <v>0.97799999999999998</v>
      </c>
      <c r="CM3" s="82">
        <v>0.97499999999999998</v>
      </c>
      <c r="CN3" s="82">
        <v>0.97599999999999998</v>
      </c>
      <c r="CO3" s="82">
        <v>0.97299999999999998</v>
      </c>
      <c r="CP3" s="82">
        <v>0.97599999999999998</v>
      </c>
      <c r="CQ3" s="82">
        <v>0.97499999999999998</v>
      </c>
      <c r="CR3" s="82">
        <v>0.97899999999999998</v>
      </c>
      <c r="CS3" s="82">
        <v>0.97899999999999998</v>
      </c>
      <c r="CT3" s="82">
        <v>0.97699999999999998</v>
      </c>
      <c r="CU3" s="82">
        <v>0.97399999999999998</v>
      </c>
      <c r="CV3" s="82">
        <v>0.97699999999999998</v>
      </c>
      <c r="CW3" s="82">
        <v>0.98</v>
      </c>
      <c r="CX3" s="82">
        <v>0.98</v>
      </c>
      <c r="CY3" s="82">
        <v>0.98099999999999998</v>
      </c>
      <c r="CZ3" s="82">
        <v>0.98299999999999998</v>
      </c>
      <c r="DA3" s="82">
        <v>0.97899999999999998</v>
      </c>
      <c r="DB3" s="82">
        <v>0.98199999999999998</v>
      </c>
      <c r="DC3" s="82">
        <v>0.98599999999999999</v>
      </c>
      <c r="DD3" s="82">
        <v>0.98099999999999998</v>
      </c>
      <c r="DE3" s="82">
        <v>0.98</v>
      </c>
      <c r="DF3" s="82">
        <v>0.96799999999999997</v>
      </c>
      <c r="DG3" s="82">
        <v>0.95299999999999996</v>
      </c>
      <c r="DH3" s="82">
        <v>0.93899999999999995</v>
      </c>
      <c r="DI3" s="82">
        <v>0.93500000000000005</v>
      </c>
      <c r="DJ3" s="82">
        <v>0.94299999999999995</v>
      </c>
      <c r="DK3" s="82">
        <v>0.95799999999999996</v>
      </c>
      <c r="DL3" s="82">
        <v>0.94799999999999995</v>
      </c>
      <c r="DM3" s="82">
        <v>0.93400000000000005</v>
      </c>
      <c r="DN3" s="82">
        <v>0.91600000000000004</v>
      </c>
      <c r="DO3" s="82">
        <v>0.90800000000000003</v>
      </c>
      <c r="DP3" s="82">
        <v>0.91500000000000004</v>
      </c>
      <c r="DQ3" s="82">
        <v>0.92</v>
      </c>
      <c r="DR3" s="82">
        <v>0.92200000000000004</v>
      </c>
      <c r="DS3" s="82">
        <v>0.92600000000000005</v>
      </c>
      <c r="DT3" s="82">
        <v>0.95499999999999996</v>
      </c>
      <c r="DU3" s="82">
        <v>0.94599999999999995</v>
      </c>
      <c r="DV3" s="82">
        <v>0.94499999999999995</v>
      </c>
      <c r="DW3" s="82">
        <v>0.94599999999999995</v>
      </c>
      <c r="DX3" s="82">
        <v>0.95099999999999996</v>
      </c>
      <c r="DY3" s="82">
        <v>0.95499999999999996</v>
      </c>
      <c r="DZ3" s="82">
        <v>0.95399999999999996</v>
      </c>
      <c r="EA3" s="82">
        <v>0.95499999999999996</v>
      </c>
      <c r="EB3" s="82">
        <v>0.95499999999999996</v>
      </c>
      <c r="EC3" s="82">
        <v>0.94699999999999995</v>
      </c>
      <c r="ED3" s="82">
        <v>0.95699999999999996</v>
      </c>
      <c r="EE3" s="82">
        <v>0.94299999999999995</v>
      </c>
      <c r="EF3" s="82">
        <v>0.95599999999999996</v>
      </c>
      <c r="EG3" s="82">
        <v>0.94399999999999995</v>
      </c>
      <c r="EH3" s="82">
        <v>0.96499999999999997</v>
      </c>
      <c r="EI3" s="82">
        <v>0.95799999999999996</v>
      </c>
      <c r="EJ3" s="82">
        <v>0.96199999999999997</v>
      </c>
      <c r="EK3" s="82">
        <v>0.96699999999999997</v>
      </c>
      <c r="EL3" s="82">
        <v>0.96</v>
      </c>
      <c r="EM3" s="82">
        <v>0.96299999999999997</v>
      </c>
      <c r="EN3" s="82">
        <v>0.96499999999999997</v>
      </c>
      <c r="EO3" s="82">
        <v>0.96499999999999997</v>
      </c>
      <c r="EP3" s="82">
        <v>0.96499999999999997</v>
      </c>
      <c r="EQ3" s="82">
        <v>0.96</v>
      </c>
      <c r="ER3" s="82">
        <v>0.95699999999999996</v>
      </c>
      <c r="ES3" s="82">
        <v>0.96199999999999997</v>
      </c>
      <c r="ET3" s="82">
        <v>0.95699999999999996</v>
      </c>
      <c r="EU3" s="82">
        <v>0.95399999999999996</v>
      </c>
      <c r="EV3" s="82">
        <v>0.95599999999999996</v>
      </c>
      <c r="EW3" s="82">
        <v>0.95799999999999996</v>
      </c>
      <c r="EX3" s="82">
        <v>0.95799999999999996</v>
      </c>
      <c r="EY3" s="82">
        <v>0.95799999999999996</v>
      </c>
      <c r="EZ3" s="82">
        <v>0.95499999999999996</v>
      </c>
      <c r="FA3" s="82">
        <v>0.96599999999999997</v>
      </c>
      <c r="FB3" s="82">
        <v>0.97</v>
      </c>
      <c r="FC3" s="82">
        <v>0.98</v>
      </c>
      <c r="FD3" s="82">
        <v>0.98099999999999998</v>
      </c>
      <c r="FE3" s="82">
        <v>0.98499999999999999</v>
      </c>
      <c r="FF3" s="82">
        <v>0.98799999999999999</v>
      </c>
      <c r="FG3" s="82">
        <v>0.98599999999999999</v>
      </c>
      <c r="FH3" s="82">
        <v>0.98799999999999999</v>
      </c>
      <c r="FI3" s="82">
        <v>0.98899999999999999</v>
      </c>
      <c r="FJ3" s="82">
        <v>0.98499999999999999</v>
      </c>
      <c r="FK3" s="82">
        <v>0.98299999999999998</v>
      </c>
      <c r="FL3" s="82">
        <v>0.99099999999999999</v>
      </c>
      <c r="FM3" s="82">
        <v>0.98799999999999999</v>
      </c>
      <c r="FN3" s="82">
        <v>0.99099999999999999</v>
      </c>
      <c r="FO3" s="82">
        <v>0.99099999999999999</v>
      </c>
      <c r="FP3" s="82">
        <v>0.98899999999999999</v>
      </c>
      <c r="FQ3" s="82">
        <v>0.98299999999999998</v>
      </c>
      <c r="FR3" s="82">
        <v>0.98299999999999998</v>
      </c>
      <c r="FS3" s="82">
        <v>0.98699999999999999</v>
      </c>
      <c r="FT3" s="82">
        <v>0.98099999999999998</v>
      </c>
      <c r="FU3" s="82">
        <v>0.97899999999999998</v>
      </c>
      <c r="FV3" s="82">
        <v>0.98399999999999999</v>
      </c>
      <c r="FW3" s="82">
        <v>0.98199999999999998</v>
      </c>
      <c r="FX3" s="82">
        <v>0.97699999999999998</v>
      </c>
      <c r="FY3" s="82">
        <v>0.97699999999999998</v>
      </c>
      <c r="FZ3" s="82">
        <v>0.97799999999999998</v>
      </c>
      <c r="GA3" s="82">
        <v>0.98199999999999998</v>
      </c>
      <c r="GB3" s="82">
        <v>0.98</v>
      </c>
      <c r="GC3" s="82">
        <v>0.98</v>
      </c>
      <c r="GD3" s="82">
        <v>0.98299999999999998</v>
      </c>
      <c r="GE3" s="82">
        <v>0.98499999999999999</v>
      </c>
      <c r="GF3" s="82">
        <v>0.97199999999999998</v>
      </c>
      <c r="GG3" s="82">
        <v>0.97599999999999998</v>
      </c>
      <c r="GH3" s="82">
        <v>0.97399999999999998</v>
      </c>
      <c r="GI3" s="82">
        <v>0.97099999999999997</v>
      </c>
      <c r="GJ3" s="82">
        <v>0.97099999999999997</v>
      </c>
      <c r="GK3" s="82">
        <v>0.98299999999999998</v>
      </c>
      <c r="GL3" s="82">
        <v>0.97899999999999998</v>
      </c>
      <c r="GM3" s="82">
        <v>0.97899999999999998</v>
      </c>
      <c r="GN3" s="82">
        <v>0.97699999999999998</v>
      </c>
      <c r="GO3" s="82">
        <v>0.98</v>
      </c>
      <c r="GP3" s="82">
        <v>0.97599999999999998</v>
      </c>
      <c r="GQ3" s="82">
        <v>0.98</v>
      </c>
      <c r="GR3" s="82">
        <v>0.98199999999999998</v>
      </c>
      <c r="GS3" s="82">
        <v>0.97899999999999998</v>
      </c>
      <c r="GT3" s="82">
        <v>0.96499999999999997</v>
      </c>
      <c r="GU3" s="82">
        <v>0.96499999999999997</v>
      </c>
      <c r="GV3" s="82">
        <v>0.96399999999999997</v>
      </c>
      <c r="GW3" s="82">
        <v>0.97399999999999998</v>
      </c>
      <c r="GX3" s="82">
        <v>0.96899999999999997</v>
      </c>
      <c r="GY3" s="82">
        <v>0.96599999999999997</v>
      </c>
      <c r="GZ3" s="82">
        <v>0.96399999999999997</v>
      </c>
      <c r="HA3" s="82">
        <v>0.96599999999999997</v>
      </c>
      <c r="HB3" s="82">
        <v>0.95799999999999996</v>
      </c>
      <c r="HC3" s="82">
        <v>0.95199999999999996</v>
      </c>
      <c r="HD3" s="82">
        <v>0.94699999999999995</v>
      </c>
      <c r="HE3" s="82">
        <v>0.93799999999999994</v>
      </c>
      <c r="HF3" s="82">
        <v>0.92500000000000004</v>
      </c>
      <c r="HG3" s="82">
        <v>0.92700000000000005</v>
      </c>
      <c r="HH3" s="82">
        <v>0.94199999999999995</v>
      </c>
      <c r="HI3" s="82">
        <v>0.94199999999999995</v>
      </c>
      <c r="HJ3" s="82">
        <v>0.93600000000000005</v>
      </c>
      <c r="HK3" s="82">
        <v>0.94199999999999995</v>
      </c>
      <c r="HL3" s="82">
        <v>0.94799999999999995</v>
      </c>
      <c r="HM3" s="82">
        <v>0.93600000000000005</v>
      </c>
      <c r="HN3" s="82">
        <v>0.92900000000000005</v>
      </c>
      <c r="HO3" s="82">
        <v>0.94199999999999995</v>
      </c>
      <c r="HP3" s="82">
        <v>0.94299999999999995</v>
      </c>
      <c r="HQ3" s="82">
        <v>0.94699999999999995</v>
      </c>
      <c r="HR3" s="82">
        <v>0.94799999999999995</v>
      </c>
      <c r="HS3" s="82">
        <v>0.94499999999999995</v>
      </c>
      <c r="HT3" s="82">
        <v>0.94099999999999995</v>
      </c>
      <c r="HU3" s="82">
        <v>0.94599999999999995</v>
      </c>
      <c r="HV3" s="82">
        <v>0.94699999999999995</v>
      </c>
      <c r="HW3" s="82">
        <v>0.94299999999999995</v>
      </c>
      <c r="HX3" s="82">
        <v>0.95</v>
      </c>
      <c r="HY3" s="82">
        <v>0.94099999999999995</v>
      </c>
      <c r="HZ3" s="82">
        <v>0.93600000000000005</v>
      </c>
      <c r="IA3" s="82">
        <v>0.93899999999999995</v>
      </c>
      <c r="IB3" s="82">
        <v>0.95399999999999996</v>
      </c>
      <c r="IC3" s="82">
        <v>0.95499999999999996</v>
      </c>
      <c r="ID3" s="82">
        <v>0.94899999999999995</v>
      </c>
      <c r="IE3" s="82">
        <v>0.94899999999999995</v>
      </c>
      <c r="IF3" s="82">
        <v>0.94799999999999995</v>
      </c>
      <c r="IG3" s="82">
        <v>0.97099999999999997</v>
      </c>
      <c r="IH3" s="82">
        <v>0.97</v>
      </c>
      <c r="II3" s="82">
        <v>0.95699999999999996</v>
      </c>
      <c r="IJ3" s="82">
        <v>0.94699999999999995</v>
      </c>
      <c r="IK3" s="82">
        <v>0.96</v>
      </c>
      <c r="IL3" s="82">
        <v>0.96</v>
      </c>
      <c r="IM3" s="82">
        <v>0.96199999999999997</v>
      </c>
    </row>
    <row r="4" spans="1:247">
      <c r="A4" s="78" t="s">
        <v>39</v>
      </c>
      <c r="B4" s="79">
        <v>0.96799999999999997</v>
      </c>
      <c r="C4" s="79">
        <v>0.97133333333333338</v>
      </c>
      <c r="D4" s="79">
        <v>0.98186666666666678</v>
      </c>
      <c r="E4" s="79">
        <v>0.97646666666666682</v>
      </c>
      <c r="F4" s="79">
        <v>0.97840000000000005</v>
      </c>
      <c r="G4" s="79">
        <v>0.97833333333333328</v>
      </c>
      <c r="H4" s="79">
        <v>0.97</v>
      </c>
      <c r="I4" s="79">
        <v>0.98206666666666664</v>
      </c>
      <c r="J4" s="79">
        <v>0.97979999999999978</v>
      </c>
      <c r="K4" s="79">
        <v>0.97673333333333345</v>
      </c>
      <c r="L4" s="79">
        <v>0.9658000000000001</v>
      </c>
      <c r="M4" s="80">
        <v>0.9612666666666666</v>
      </c>
      <c r="N4" s="80">
        <v>0.95506666666666673</v>
      </c>
      <c r="O4" s="80">
        <v>0.96906666666666663</v>
      </c>
      <c r="P4" s="80">
        <v>0.98</v>
      </c>
      <c r="Q4" s="80">
        <v>0.98</v>
      </c>
      <c r="R4" s="80">
        <v>0.98</v>
      </c>
      <c r="S4" s="80">
        <v>0.97216666666666673</v>
      </c>
      <c r="T4" s="80">
        <v>0.95708333333333329</v>
      </c>
      <c r="U4" s="80">
        <v>0.96616666666666662</v>
      </c>
      <c r="V4" s="80">
        <v>0.97612545416876595</v>
      </c>
      <c r="W4" s="80">
        <v>0.97367701559425013</v>
      </c>
      <c r="X4" s="80">
        <v>0.97699999999999998</v>
      </c>
      <c r="Y4" s="80">
        <v>0.97699999999999998</v>
      </c>
      <c r="Z4" s="80">
        <v>0.97199999999999998</v>
      </c>
      <c r="AA4" s="80">
        <v>0.97499999999999998</v>
      </c>
      <c r="AB4" s="80">
        <v>0.9732182170003707</v>
      </c>
      <c r="AC4" s="80">
        <v>0.97099999999999997</v>
      </c>
      <c r="AD4" s="80">
        <v>0.96399999999999997</v>
      </c>
      <c r="AE4" s="80">
        <v>0.95499999999999996</v>
      </c>
      <c r="AF4" s="80">
        <v>0.97599999999999998</v>
      </c>
      <c r="AG4" s="80">
        <v>0.98199999999999998</v>
      </c>
      <c r="AH4" s="80">
        <v>0.98599999999999999</v>
      </c>
      <c r="AI4" s="80">
        <v>0.98</v>
      </c>
      <c r="AJ4" s="80">
        <v>0.97</v>
      </c>
      <c r="AK4" s="80">
        <v>0.96</v>
      </c>
      <c r="AL4" s="80">
        <v>0.98099999999999998</v>
      </c>
      <c r="AM4" s="80">
        <v>0.98799999999999999</v>
      </c>
      <c r="AN4" s="80">
        <v>0.98299999999999998</v>
      </c>
      <c r="AO4" s="80">
        <v>0.98299999999999998</v>
      </c>
      <c r="AP4" s="80">
        <v>0.97499999999999998</v>
      </c>
      <c r="AQ4" s="80">
        <v>0.97</v>
      </c>
      <c r="AR4" s="80">
        <v>0.96599999999999997</v>
      </c>
      <c r="AS4" s="80">
        <v>0.95749246960844669</v>
      </c>
      <c r="AT4" s="81">
        <v>0.96383061954712501</v>
      </c>
      <c r="AU4" s="81">
        <v>0.93600000000000005</v>
      </c>
      <c r="AV4" s="81">
        <v>0.92214509070137507</v>
      </c>
      <c r="AW4" s="81">
        <v>0.91759104266636915</v>
      </c>
      <c r="AX4" s="81">
        <v>0.91186257418762251</v>
      </c>
      <c r="AY4" s="82">
        <v>0.90772027357267027</v>
      </c>
      <c r="AZ4" s="82">
        <v>0.91250048661145255</v>
      </c>
      <c r="BA4" s="82">
        <v>0.91048986029803447</v>
      </c>
      <c r="BB4" s="82">
        <v>0.90900000000000003</v>
      </c>
      <c r="BC4" s="82">
        <v>0.90300000000000002</v>
      </c>
      <c r="BD4" s="82">
        <v>0.90600000000000003</v>
      </c>
      <c r="BE4" s="82">
        <v>0.96599999999999997</v>
      </c>
      <c r="BF4" s="82">
        <v>0.97299999999999998</v>
      </c>
      <c r="BG4" s="82">
        <v>0.96799999999999997</v>
      </c>
      <c r="BH4" s="82">
        <v>0.97599999999999998</v>
      </c>
      <c r="BI4" s="82">
        <v>0.96799999999999997</v>
      </c>
      <c r="BJ4" s="82">
        <v>0.97099999999999997</v>
      </c>
      <c r="BK4" s="82">
        <v>0.96599999999999997</v>
      </c>
      <c r="BL4" s="82">
        <v>0.98199999999999998</v>
      </c>
      <c r="BM4" s="82">
        <v>0.98299999999999998</v>
      </c>
      <c r="BN4" s="82">
        <v>0.98299999999999998</v>
      </c>
      <c r="BO4" s="82">
        <v>0.98399999999999999</v>
      </c>
      <c r="BP4" s="82">
        <v>0.98199999999999998</v>
      </c>
      <c r="BQ4" s="82">
        <v>0.99399999999999999</v>
      </c>
      <c r="BR4" s="82">
        <v>0.98899999999999999</v>
      </c>
      <c r="BS4" s="82">
        <v>0.98399999999999999</v>
      </c>
      <c r="BT4" s="82">
        <v>0.98299999999999998</v>
      </c>
      <c r="BU4" s="82">
        <v>0.98199999999999998</v>
      </c>
      <c r="BV4" s="82">
        <v>0.99</v>
      </c>
      <c r="BW4" s="82">
        <v>0.99399999999999999</v>
      </c>
      <c r="BX4" s="82">
        <v>0.99</v>
      </c>
      <c r="BY4" s="82">
        <v>0.98199999999999998</v>
      </c>
      <c r="BZ4" s="82">
        <v>0.97599999999999998</v>
      </c>
      <c r="CA4" s="82">
        <v>0.95699999999999996</v>
      </c>
      <c r="CB4" s="82">
        <v>0.95299999999999996</v>
      </c>
      <c r="CC4" s="82">
        <v>0.98699999999999999</v>
      </c>
      <c r="CD4" s="82">
        <v>0.996</v>
      </c>
      <c r="CE4" s="82">
        <v>0.999</v>
      </c>
      <c r="CF4" s="82">
        <v>0.996</v>
      </c>
      <c r="CG4" s="82">
        <v>0.99199999999999999</v>
      </c>
      <c r="CH4" s="82">
        <v>0.98699999999999999</v>
      </c>
      <c r="CI4" s="82">
        <v>0.99199999999999999</v>
      </c>
      <c r="CJ4" s="82">
        <v>0.99099999999999999</v>
      </c>
      <c r="CK4" s="82">
        <v>0.98399999999999999</v>
      </c>
      <c r="CL4" s="82">
        <v>0.98199999999999998</v>
      </c>
      <c r="CM4" s="82">
        <v>0.98199999999999998</v>
      </c>
      <c r="CN4" s="82">
        <v>0.97799999999999998</v>
      </c>
      <c r="CO4" s="82">
        <v>0.97399999999999998</v>
      </c>
      <c r="CP4" s="82">
        <v>0.98899999999999999</v>
      </c>
      <c r="CQ4" s="82">
        <v>0.99</v>
      </c>
      <c r="CR4" s="82">
        <v>0.98099999999999998</v>
      </c>
      <c r="CS4" s="82">
        <v>0.98699999999999999</v>
      </c>
      <c r="CT4" s="82">
        <v>0.97799999999999998</v>
      </c>
      <c r="CU4" s="82">
        <v>0.95499999999999996</v>
      </c>
      <c r="CV4" s="82">
        <v>0.97499999999999998</v>
      </c>
      <c r="CW4" s="82">
        <v>0.95699999999999996</v>
      </c>
      <c r="CX4" s="82">
        <v>0.97099999999999997</v>
      </c>
      <c r="CY4" s="82">
        <v>0.96899999999999997</v>
      </c>
      <c r="CZ4" s="82">
        <v>0.97</v>
      </c>
      <c r="DA4" s="82">
        <v>0.98</v>
      </c>
      <c r="DB4" s="82">
        <v>0.99</v>
      </c>
      <c r="DC4" s="82">
        <v>0.99199999999999999</v>
      </c>
      <c r="DD4" s="82">
        <v>0.98</v>
      </c>
      <c r="DE4" s="82">
        <v>0.97599999999999998</v>
      </c>
      <c r="DF4" s="82">
        <v>0.96199999999999997</v>
      </c>
      <c r="DG4" s="82">
        <v>0.93700000000000006</v>
      </c>
      <c r="DH4" s="82">
        <v>0.95299999999999996</v>
      </c>
      <c r="DI4" s="82">
        <v>0.94799999999999995</v>
      </c>
      <c r="DJ4" s="82">
        <v>0.93899999999999995</v>
      </c>
      <c r="DK4" s="82">
        <v>0.94</v>
      </c>
      <c r="DL4" s="82">
        <v>0.94199999999999995</v>
      </c>
      <c r="DM4" s="82">
        <v>0.92200000000000004</v>
      </c>
      <c r="DN4" s="82">
        <v>0.92600000000000005</v>
      </c>
      <c r="DO4" s="82">
        <v>0.93500000000000005</v>
      </c>
      <c r="DP4" s="82">
        <v>0.94299999999999995</v>
      </c>
      <c r="DQ4" s="82">
        <v>0.94099999999999995</v>
      </c>
      <c r="DR4" s="82">
        <v>0.92900000000000005</v>
      </c>
      <c r="DS4" s="82">
        <v>0.92700000000000005</v>
      </c>
      <c r="DT4" s="82">
        <v>0.92100000000000004</v>
      </c>
      <c r="DU4" s="82">
        <v>0.91600000000000004</v>
      </c>
      <c r="DV4" s="82">
        <v>0.93500000000000005</v>
      </c>
      <c r="DW4" s="82">
        <v>0.93</v>
      </c>
      <c r="DX4" s="82">
        <v>0.91300000000000003</v>
      </c>
      <c r="DY4" s="82">
        <v>0.92400000000000004</v>
      </c>
      <c r="DZ4" s="82">
        <v>0.93</v>
      </c>
      <c r="EA4" s="82">
        <v>0.94</v>
      </c>
      <c r="EB4" s="82">
        <v>0.93700000000000006</v>
      </c>
      <c r="EC4" s="82">
        <v>0.92600000000000005</v>
      </c>
      <c r="ED4" s="82">
        <v>0.92800000000000005</v>
      </c>
      <c r="EE4" s="82">
        <v>0.92700000000000005</v>
      </c>
      <c r="EF4" s="82">
        <v>0.92700000000000005</v>
      </c>
      <c r="EG4" s="82">
        <v>0.92200000000000004</v>
      </c>
      <c r="EH4" s="82">
        <v>0.93799999999999994</v>
      </c>
      <c r="EI4" s="82">
        <v>0.92600000000000005</v>
      </c>
      <c r="EJ4" s="82">
        <v>0.93100000000000005</v>
      </c>
      <c r="EK4" s="82">
        <v>0.93400000000000005</v>
      </c>
      <c r="EL4" s="82">
        <v>0.94699999999999995</v>
      </c>
      <c r="EM4" s="82">
        <v>0.96699999999999997</v>
      </c>
      <c r="EN4" s="82">
        <v>0.97299999999999998</v>
      </c>
      <c r="EO4" s="82">
        <v>0.95799999999999996</v>
      </c>
      <c r="EP4" s="82">
        <v>0.97399999999999998</v>
      </c>
      <c r="EQ4" s="82">
        <v>0.95699999999999996</v>
      </c>
      <c r="ER4" s="82">
        <v>0.95899999999999996</v>
      </c>
      <c r="ES4" s="82">
        <v>0.96699999999999997</v>
      </c>
      <c r="ET4" s="82">
        <v>0.96599999999999997</v>
      </c>
      <c r="EU4" s="82">
        <v>0.96499999999999997</v>
      </c>
      <c r="EV4" s="82">
        <v>0.96299999999999997</v>
      </c>
      <c r="EW4" s="82">
        <v>0.96</v>
      </c>
      <c r="EX4" s="82">
        <v>0.96499999999999997</v>
      </c>
      <c r="EY4" s="82">
        <v>0.96499999999999997</v>
      </c>
      <c r="EZ4" s="82">
        <v>0.97099999999999997</v>
      </c>
      <c r="FA4" s="82">
        <v>0.98499999999999999</v>
      </c>
      <c r="FB4" s="82">
        <v>0.99099999999999999</v>
      </c>
      <c r="FC4" s="82">
        <v>0.995</v>
      </c>
      <c r="FD4" s="82">
        <v>0.98599999999999999</v>
      </c>
      <c r="FE4" s="82">
        <v>0.98899999999999999</v>
      </c>
      <c r="FF4" s="82">
        <v>0.99199999999999999</v>
      </c>
      <c r="FG4" s="82">
        <v>0.98699999999999999</v>
      </c>
      <c r="FH4" s="82">
        <v>0.98699999999999999</v>
      </c>
      <c r="FI4" s="82">
        <v>0.98599999999999999</v>
      </c>
      <c r="FJ4" s="82">
        <v>0.98799999999999999</v>
      </c>
      <c r="FK4" s="82">
        <v>0.98599999999999999</v>
      </c>
      <c r="FL4" s="82">
        <v>0.97899999999999998</v>
      </c>
      <c r="FM4" s="82">
        <v>0.97299999999999998</v>
      </c>
      <c r="FN4" s="82">
        <v>0.98799999999999999</v>
      </c>
      <c r="FO4" s="82">
        <v>0.997</v>
      </c>
      <c r="FP4" s="82">
        <v>0.99199999999999999</v>
      </c>
      <c r="FQ4" s="82">
        <v>0.98899999999999999</v>
      </c>
      <c r="FR4" s="82">
        <v>0.98699999999999999</v>
      </c>
      <c r="FS4" s="82">
        <v>0.98799999999999999</v>
      </c>
      <c r="FT4" s="82">
        <v>0.98599999999999999</v>
      </c>
      <c r="FU4" s="82">
        <v>0.98099999999999998</v>
      </c>
      <c r="FV4" s="82">
        <v>0.97099999999999997</v>
      </c>
      <c r="FW4" s="82">
        <v>0.97899999999999998</v>
      </c>
      <c r="FX4" s="82">
        <v>0.98199999999999998</v>
      </c>
      <c r="FY4" s="82">
        <v>0.97799999999999998</v>
      </c>
      <c r="FZ4" s="82">
        <v>0.96899999999999997</v>
      </c>
      <c r="GA4" s="82">
        <v>0.97899999999999998</v>
      </c>
      <c r="GB4" s="82">
        <v>0.99</v>
      </c>
      <c r="GC4" s="82">
        <v>0.99</v>
      </c>
      <c r="GD4" s="82">
        <v>0.98599999999999999</v>
      </c>
      <c r="GE4" s="82">
        <v>0.98599999999999999</v>
      </c>
      <c r="GF4" s="82">
        <v>0.97699999999999998</v>
      </c>
      <c r="GG4" s="82">
        <v>0.96799999999999997</v>
      </c>
      <c r="GH4" s="82">
        <v>0.96499999999999997</v>
      </c>
      <c r="GI4" s="82">
        <v>0.96699999999999997</v>
      </c>
      <c r="GJ4" s="82">
        <v>0.96</v>
      </c>
      <c r="GK4" s="82">
        <v>0.98199999999999998</v>
      </c>
      <c r="GL4" s="82">
        <v>0.97699999999999998</v>
      </c>
      <c r="GM4" s="82">
        <v>0.98</v>
      </c>
      <c r="GN4" s="82">
        <v>0.97899999999999998</v>
      </c>
      <c r="GO4" s="82">
        <v>0.98899999999999999</v>
      </c>
      <c r="GP4" s="82">
        <v>0.98299999999999998</v>
      </c>
      <c r="GQ4" s="82">
        <v>0.98699999999999999</v>
      </c>
      <c r="GR4" s="82">
        <v>0.97199999999999998</v>
      </c>
      <c r="GS4" s="82">
        <v>0.96099999999999997</v>
      </c>
      <c r="GT4" s="82">
        <v>0.95099999999999996</v>
      </c>
      <c r="GU4" s="82">
        <v>0.94899999999999995</v>
      </c>
      <c r="GV4" s="82">
        <v>0.95099999999999996</v>
      </c>
      <c r="GW4" s="82">
        <v>0.96699999999999997</v>
      </c>
      <c r="GX4" s="82">
        <v>0.96</v>
      </c>
      <c r="GY4" s="82">
        <v>0.94899999999999995</v>
      </c>
      <c r="GZ4" s="82">
        <v>0.92500000000000004</v>
      </c>
      <c r="HA4" s="82">
        <v>0.91400000000000003</v>
      </c>
      <c r="HB4" s="82">
        <v>0.89500000000000002</v>
      </c>
      <c r="HC4" s="82">
        <v>0.93500000000000005</v>
      </c>
      <c r="HD4" s="82">
        <v>0.92800000000000005</v>
      </c>
      <c r="HE4" s="82">
        <v>0.90600000000000003</v>
      </c>
      <c r="HF4" s="82">
        <v>0.90200000000000002</v>
      </c>
      <c r="HG4" s="82">
        <v>0.91900000000000004</v>
      </c>
      <c r="HH4" s="82">
        <v>0.93799999999999994</v>
      </c>
      <c r="HI4" s="82">
        <v>0.95</v>
      </c>
      <c r="HJ4" s="82">
        <v>0.93500000000000005</v>
      </c>
      <c r="HK4" s="82">
        <v>0.92700000000000005</v>
      </c>
      <c r="HL4" s="82">
        <v>0.91100000000000003</v>
      </c>
      <c r="HM4" s="82">
        <v>0.91800000000000004</v>
      </c>
      <c r="HN4" s="82">
        <v>0.91300000000000003</v>
      </c>
      <c r="HO4" s="82">
        <v>0.93300000000000005</v>
      </c>
      <c r="HP4" s="82">
        <v>0.93</v>
      </c>
      <c r="HQ4" s="82">
        <v>0.94499999999999995</v>
      </c>
      <c r="HR4" s="82">
        <v>0.93600000000000005</v>
      </c>
      <c r="HS4" s="82">
        <v>0.93600000000000005</v>
      </c>
      <c r="HT4" s="82">
        <v>0.96299999999999997</v>
      </c>
      <c r="HU4" s="82">
        <v>0.96699999999999997</v>
      </c>
      <c r="HV4" s="82">
        <v>0.96099999999999997</v>
      </c>
      <c r="HW4" s="82">
        <v>0.94799999999999995</v>
      </c>
      <c r="HX4" s="82">
        <v>0.92800000000000005</v>
      </c>
      <c r="HY4" s="82">
        <v>0.94299999999999995</v>
      </c>
      <c r="HZ4" s="82">
        <v>0.94899999999999995</v>
      </c>
      <c r="IA4" s="82">
        <v>0.96599999999999997</v>
      </c>
      <c r="IB4" s="82">
        <v>0.97</v>
      </c>
      <c r="IC4" s="82">
        <v>0.96899999999999997</v>
      </c>
      <c r="ID4" s="82">
        <v>0.97099999999999997</v>
      </c>
      <c r="IE4" s="82">
        <v>0.97</v>
      </c>
      <c r="IF4" s="82">
        <v>0.97099999999999997</v>
      </c>
      <c r="IG4" s="82">
        <v>0.97399999999999998</v>
      </c>
      <c r="IH4" s="82">
        <v>0.93799999999999994</v>
      </c>
      <c r="II4" s="82">
        <v>0.91600000000000004</v>
      </c>
      <c r="IJ4" s="82">
        <v>0.96599999999999997</v>
      </c>
      <c r="IK4" s="82">
        <v>0.96699999999999997</v>
      </c>
      <c r="IL4" s="82">
        <v>0.95799999999999996</v>
      </c>
      <c r="IM4" s="82">
        <v>0.98199999999999998</v>
      </c>
    </row>
    <row r="5" spans="1:247">
      <c r="A5" s="78" t="s">
        <v>40</v>
      </c>
      <c r="B5" s="79">
        <v>0.94040000000000001</v>
      </c>
      <c r="C5" s="79">
        <v>0.9423999999999999</v>
      </c>
      <c r="D5" s="79">
        <v>0.93499999999999994</v>
      </c>
      <c r="E5" s="79">
        <v>0.93740000000000001</v>
      </c>
      <c r="F5" s="79">
        <v>0.93585999999999991</v>
      </c>
      <c r="G5" s="79">
        <v>0.92080000000000006</v>
      </c>
      <c r="H5" s="79">
        <v>0.91</v>
      </c>
      <c r="I5" s="79">
        <v>0.91379999999999995</v>
      </c>
      <c r="J5" s="79">
        <v>0.93159999999999987</v>
      </c>
      <c r="K5" s="79">
        <v>0.92859999999999998</v>
      </c>
      <c r="L5" s="79">
        <v>0.94279999999999986</v>
      </c>
      <c r="M5" s="80">
        <v>0.94279999999999986</v>
      </c>
      <c r="N5" s="80">
        <v>0.94259999999999999</v>
      </c>
      <c r="O5" s="80">
        <v>0.96599999999999997</v>
      </c>
      <c r="P5" s="80">
        <v>0.97</v>
      </c>
      <c r="Q5" s="80">
        <v>0.96</v>
      </c>
      <c r="R5" s="80">
        <v>0.96</v>
      </c>
      <c r="S5" s="80">
        <v>0.94400000000000006</v>
      </c>
      <c r="T5" s="80">
        <v>0.92866666666666664</v>
      </c>
      <c r="U5" s="80">
        <v>0.93533333333333335</v>
      </c>
      <c r="V5" s="80">
        <v>0.93352918429219478</v>
      </c>
      <c r="W5" s="80">
        <v>0.95075660868727352</v>
      </c>
      <c r="X5" s="80">
        <v>0.96199999999999997</v>
      </c>
      <c r="Y5" s="80">
        <v>0.96199999999999997</v>
      </c>
      <c r="Z5" s="80">
        <v>0.97299999999999998</v>
      </c>
      <c r="AA5" s="80">
        <v>0.97399999999999998</v>
      </c>
      <c r="AB5" s="80">
        <v>0.97164273653753941</v>
      </c>
      <c r="AC5" s="80">
        <v>0.96199999999999997</v>
      </c>
      <c r="AD5" s="80">
        <v>0.96799999999999997</v>
      </c>
      <c r="AE5" s="80">
        <v>0.96799999999999997</v>
      </c>
      <c r="AF5" s="80">
        <v>0.97099999999999997</v>
      </c>
      <c r="AG5" s="80">
        <v>0.97</v>
      </c>
      <c r="AH5" s="80">
        <v>0.97299999999999998</v>
      </c>
      <c r="AI5" s="80">
        <v>0.95699999999999996</v>
      </c>
      <c r="AJ5" s="80">
        <v>0.94099999999999995</v>
      </c>
      <c r="AK5" s="80">
        <v>0.93400000000000005</v>
      </c>
      <c r="AL5" s="80">
        <v>0.96799999999999997</v>
      </c>
      <c r="AM5" s="80">
        <v>0.97099999999999997</v>
      </c>
      <c r="AN5" s="80">
        <v>0.96499999999999997</v>
      </c>
      <c r="AO5" s="80">
        <v>0.96</v>
      </c>
      <c r="AP5" s="80">
        <v>0.94699999999999995</v>
      </c>
      <c r="AQ5" s="80">
        <v>0.95</v>
      </c>
      <c r="AR5" s="80">
        <v>0.95199999999999996</v>
      </c>
      <c r="AS5" s="80">
        <v>0.95831379612276724</v>
      </c>
      <c r="AT5" s="81">
        <v>0.95077561527672583</v>
      </c>
      <c r="AU5" s="81">
        <v>0.92200000000000004</v>
      </c>
      <c r="AV5" s="81">
        <v>0.91181482532370117</v>
      </c>
      <c r="AW5" s="81">
        <v>0.92716025988186901</v>
      </c>
      <c r="AX5" s="81">
        <v>0.93020613325410528</v>
      </c>
      <c r="AY5" s="82">
        <v>0.93810327380224268</v>
      </c>
      <c r="AZ5" s="82">
        <v>0.9190906682330785</v>
      </c>
      <c r="BA5" s="82">
        <v>0.90363927838305724</v>
      </c>
      <c r="BB5" s="82">
        <v>0.90700000000000003</v>
      </c>
      <c r="BC5" s="82">
        <v>0.90800000000000003</v>
      </c>
      <c r="BD5" s="82">
        <v>0.90300000000000002</v>
      </c>
      <c r="BE5" s="82">
        <v>0.93899999999999995</v>
      </c>
      <c r="BF5" s="82">
        <v>0.94</v>
      </c>
      <c r="BG5" s="82">
        <v>0.94499999999999995</v>
      </c>
      <c r="BH5" s="82">
        <v>0.96099999999999997</v>
      </c>
      <c r="BI5" s="82">
        <v>0.95799999999999996</v>
      </c>
      <c r="BJ5" s="82">
        <v>0.96099999999999997</v>
      </c>
      <c r="BK5" s="82">
        <v>0.95899999999999996</v>
      </c>
      <c r="BL5" s="82">
        <v>0.96599999999999997</v>
      </c>
      <c r="BM5" s="82">
        <v>0.96799999999999997</v>
      </c>
      <c r="BN5" s="82">
        <v>0.97799999999999998</v>
      </c>
      <c r="BO5" s="82">
        <v>0.97499999999999998</v>
      </c>
      <c r="BP5" s="82">
        <v>0.97299999999999998</v>
      </c>
      <c r="BQ5" s="82">
        <v>0.97299999999999998</v>
      </c>
      <c r="BR5" s="82">
        <v>0.96599999999999997</v>
      </c>
      <c r="BS5" s="82">
        <v>0.95299999999999996</v>
      </c>
      <c r="BT5" s="82">
        <v>0.95</v>
      </c>
      <c r="BU5" s="82">
        <v>0.95699999999999996</v>
      </c>
      <c r="BV5" s="82">
        <v>0.96399999999999997</v>
      </c>
      <c r="BW5" s="82">
        <v>0.95499999999999996</v>
      </c>
      <c r="BX5" s="82">
        <v>0.95099999999999996</v>
      </c>
      <c r="BY5" s="82">
        <v>0.96899999999999997</v>
      </c>
      <c r="BZ5" s="82">
        <v>0.96899999999999997</v>
      </c>
      <c r="CA5" s="82">
        <v>0.96899999999999997</v>
      </c>
      <c r="CB5" s="82">
        <v>0.95099999999999996</v>
      </c>
      <c r="CC5" s="82">
        <v>0.94199999999999995</v>
      </c>
      <c r="CD5" s="82">
        <v>0.94299999999999995</v>
      </c>
      <c r="CE5" s="82">
        <v>0.93500000000000005</v>
      </c>
      <c r="CF5" s="82">
        <v>0.94099999999999995</v>
      </c>
      <c r="CG5" s="82">
        <v>0.93400000000000005</v>
      </c>
      <c r="CH5" s="82">
        <v>0.93</v>
      </c>
      <c r="CI5" s="82">
        <v>0.94</v>
      </c>
      <c r="CJ5" s="82">
        <v>0.94</v>
      </c>
      <c r="CK5" s="82">
        <v>0.94799999999999995</v>
      </c>
      <c r="CL5" s="82">
        <v>0.95399999999999996</v>
      </c>
      <c r="CM5" s="82">
        <v>0.95299999999999996</v>
      </c>
      <c r="CN5" s="82">
        <v>0.95399999999999996</v>
      </c>
      <c r="CO5" s="82">
        <v>0.94899999999999995</v>
      </c>
      <c r="CP5" s="82">
        <v>0.94699999999999995</v>
      </c>
      <c r="CQ5" s="82">
        <v>0.95199999999999996</v>
      </c>
      <c r="CR5" s="82">
        <v>0.96099999999999997</v>
      </c>
      <c r="CS5" s="82">
        <v>0.95899999999999996</v>
      </c>
      <c r="CT5" s="82">
        <v>0.95399999999999996</v>
      </c>
      <c r="CU5" s="82">
        <v>0.95199999999999996</v>
      </c>
      <c r="CV5" s="82">
        <v>0.96099999999999997</v>
      </c>
      <c r="CW5" s="82">
        <v>0.96299999999999997</v>
      </c>
      <c r="CX5" s="82">
        <v>0.96299999999999997</v>
      </c>
      <c r="CY5" s="82">
        <v>0.96599999999999997</v>
      </c>
      <c r="CZ5" s="82">
        <v>0.96699999999999997</v>
      </c>
      <c r="DA5" s="82">
        <v>0.96</v>
      </c>
      <c r="DB5" s="82">
        <v>0.96599999999999997</v>
      </c>
      <c r="DC5" s="82">
        <v>0.97299999999999998</v>
      </c>
      <c r="DD5" s="82">
        <v>0.95899999999999996</v>
      </c>
      <c r="DE5" s="82">
        <v>0.94599999999999995</v>
      </c>
      <c r="DF5" s="82">
        <v>0.93200000000000005</v>
      </c>
      <c r="DG5" s="82">
        <v>0.9</v>
      </c>
      <c r="DH5" s="82">
        <v>0.86699999999999999</v>
      </c>
      <c r="DI5" s="82">
        <v>0.85599999999999998</v>
      </c>
      <c r="DJ5" s="82">
        <v>0.876</v>
      </c>
      <c r="DK5" s="82">
        <v>0.88600000000000001</v>
      </c>
      <c r="DL5" s="82">
        <v>0.86499999999999999</v>
      </c>
      <c r="DM5" s="82">
        <v>0.82799999999999996</v>
      </c>
      <c r="DN5" s="82">
        <v>0.77500000000000002</v>
      </c>
      <c r="DO5" s="82">
        <v>0.77100000000000002</v>
      </c>
      <c r="DP5" s="82">
        <v>0.76600000000000001</v>
      </c>
      <c r="DQ5" s="82">
        <v>0.82599999999999996</v>
      </c>
      <c r="DR5" s="82">
        <v>0.80300000000000005</v>
      </c>
      <c r="DS5" s="82">
        <v>0.81899999999999995</v>
      </c>
      <c r="DT5" s="82">
        <v>0.81899999999999995</v>
      </c>
      <c r="DU5" s="82">
        <v>0.80300000000000005</v>
      </c>
      <c r="DV5" s="82">
        <v>0.82399999999999995</v>
      </c>
      <c r="DW5" s="82">
        <v>0.79500000000000004</v>
      </c>
      <c r="DX5" s="82">
        <v>0.85099999999999998</v>
      </c>
      <c r="DY5" s="82">
        <v>0.874</v>
      </c>
      <c r="DZ5" s="82">
        <v>0.86799999999999999</v>
      </c>
      <c r="EA5" s="82">
        <v>0.89800000000000002</v>
      </c>
      <c r="EB5" s="82">
        <v>0.86599999999999999</v>
      </c>
      <c r="EC5" s="82">
        <v>0.85199999999999998</v>
      </c>
      <c r="ED5" s="82">
        <v>0.86199999999999999</v>
      </c>
      <c r="EE5" s="82">
        <v>0.84299999999999997</v>
      </c>
      <c r="EF5" s="82">
        <v>0.84899999999999998</v>
      </c>
      <c r="EG5" s="82">
        <v>0.91500000000000004</v>
      </c>
      <c r="EH5" s="82">
        <v>0.92500000000000004</v>
      </c>
      <c r="EI5" s="82">
        <v>0.89600000000000002</v>
      </c>
      <c r="EJ5" s="82">
        <v>0.89100000000000001</v>
      </c>
      <c r="EK5" s="82">
        <v>0.90200000000000002</v>
      </c>
      <c r="EL5" s="82">
        <v>0.90500000000000003</v>
      </c>
      <c r="EM5" s="82">
        <v>0.89700000000000002</v>
      </c>
      <c r="EN5" s="82">
        <v>0.92300000000000004</v>
      </c>
      <c r="EO5" s="82">
        <v>0.93799999999999994</v>
      </c>
      <c r="EP5" s="82">
        <v>0.95399999999999996</v>
      </c>
      <c r="EQ5" s="82">
        <v>0.94899999999999995</v>
      </c>
      <c r="ER5" s="82">
        <v>0.95</v>
      </c>
      <c r="ES5" s="82">
        <v>0.94899999999999995</v>
      </c>
      <c r="ET5" s="82">
        <v>0.94</v>
      </c>
      <c r="EU5" s="82">
        <v>0.94299999999999995</v>
      </c>
      <c r="EV5" s="82">
        <v>0.94899999999999995</v>
      </c>
      <c r="EW5" s="82">
        <v>0.94599999999999995</v>
      </c>
      <c r="EX5" s="82">
        <v>0.94199999999999995</v>
      </c>
      <c r="EY5" s="82">
        <v>0.94199999999999995</v>
      </c>
      <c r="EZ5" s="82">
        <v>0.94</v>
      </c>
      <c r="FA5" s="82">
        <v>0.94099999999999995</v>
      </c>
      <c r="FB5" s="82">
        <v>0.95599999999999996</v>
      </c>
      <c r="FC5" s="82">
        <v>0.96699999999999997</v>
      </c>
      <c r="FD5" s="82">
        <v>0.96099999999999997</v>
      </c>
      <c r="FE5" s="82">
        <v>0.98</v>
      </c>
      <c r="FF5" s="82">
        <v>0.97699999999999998</v>
      </c>
      <c r="FG5" s="82">
        <v>0.98399999999999999</v>
      </c>
      <c r="FH5" s="82">
        <v>0.98099999999999998</v>
      </c>
      <c r="FI5" s="82">
        <v>0.97799999999999998</v>
      </c>
      <c r="FJ5" s="82">
        <v>0.97799999999999998</v>
      </c>
      <c r="FK5" s="82">
        <v>0.97699999999999998</v>
      </c>
      <c r="FL5" s="82">
        <v>0.99</v>
      </c>
      <c r="FM5" s="82">
        <v>0.98599999999999999</v>
      </c>
      <c r="FN5" s="82">
        <v>0.98499999999999999</v>
      </c>
      <c r="FO5" s="82">
        <v>0.98499999999999999</v>
      </c>
      <c r="FP5" s="82">
        <v>0.98099999999999998</v>
      </c>
      <c r="FQ5" s="82">
        <v>0.97599999999999998</v>
      </c>
      <c r="FR5" s="82">
        <v>0.97499999999999998</v>
      </c>
      <c r="FS5" s="82">
        <v>0.98</v>
      </c>
      <c r="FT5" s="82">
        <v>0.97699999999999998</v>
      </c>
      <c r="FU5" s="82">
        <v>0.97899999999999998</v>
      </c>
      <c r="FV5" s="82">
        <v>0.97899999999999998</v>
      </c>
      <c r="FW5" s="82">
        <v>0.97699999999999998</v>
      </c>
      <c r="FX5" s="82">
        <v>0.97699999999999998</v>
      </c>
      <c r="FY5" s="82">
        <v>0.97599999999999998</v>
      </c>
      <c r="FZ5" s="82">
        <v>0.97499999999999998</v>
      </c>
      <c r="GA5" s="82">
        <v>0.97899999999999998</v>
      </c>
      <c r="GB5" s="82">
        <v>0.98299999999999998</v>
      </c>
      <c r="GC5" s="82">
        <v>0.99</v>
      </c>
      <c r="GD5" s="82">
        <v>0.99299999999999999</v>
      </c>
      <c r="GE5" s="82">
        <v>0.99399999999999999</v>
      </c>
      <c r="GF5" s="82">
        <v>0.99</v>
      </c>
      <c r="GG5" s="82">
        <v>0.99299999999999999</v>
      </c>
      <c r="GH5" s="82">
        <v>0.99099999999999999</v>
      </c>
      <c r="GI5" s="82">
        <v>0.98399999999999999</v>
      </c>
      <c r="GJ5" s="82">
        <v>0.98699999999999999</v>
      </c>
      <c r="GK5" s="82">
        <v>0.98799999999999999</v>
      </c>
      <c r="GL5" s="82">
        <v>0.98599999999999999</v>
      </c>
      <c r="GM5" s="82">
        <v>0.98699999999999999</v>
      </c>
      <c r="GN5" s="82">
        <v>0.98399999999999999</v>
      </c>
      <c r="GO5" s="82">
        <v>0.98599999999999999</v>
      </c>
      <c r="GP5" s="82">
        <v>0.98399999999999999</v>
      </c>
      <c r="GQ5" s="82">
        <v>0.98699999999999999</v>
      </c>
      <c r="GR5" s="82">
        <v>0.98799999999999999</v>
      </c>
      <c r="GS5" s="82">
        <v>0.98599999999999999</v>
      </c>
      <c r="GT5" s="82">
        <v>0.97199999999999998</v>
      </c>
      <c r="GU5" s="82">
        <v>0.96</v>
      </c>
      <c r="GV5" s="82">
        <v>0.95299999999999996</v>
      </c>
      <c r="GW5" s="82">
        <v>0.97499999999999998</v>
      </c>
      <c r="GX5" s="82">
        <v>0.96099999999999997</v>
      </c>
      <c r="GY5" s="82">
        <v>0.96699999999999997</v>
      </c>
      <c r="GZ5" s="82">
        <v>0.96599999999999997</v>
      </c>
      <c r="HA5" s="82">
        <v>0.96299999999999997</v>
      </c>
      <c r="HB5" s="82">
        <v>0.95299999999999996</v>
      </c>
      <c r="HC5" s="82">
        <v>0.94</v>
      </c>
      <c r="HD5" s="82">
        <v>0.93300000000000005</v>
      </c>
      <c r="HE5" s="82">
        <v>0.92200000000000004</v>
      </c>
      <c r="HF5" s="82">
        <v>0.90700000000000003</v>
      </c>
      <c r="HG5" s="82">
        <v>0.91700000000000004</v>
      </c>
      <c r="HH5" s="82">
        <v>0.92800000000000005</v>
      </c>
      <c r="HI5" s="82">
        <v>0.94</v>
      </c>
      <c r="HJ5" s="82">
        <v>0.92400000000000004</v>
      </c>
      <c r="HK5" s="82">
        <v>0.93100000000000005</v>
      </c>
      <c r="HL5" s="82">
        <v>0.93899999999999995</v>
      </c>
      <c r="HM5" s="82">
        <v>0.91600000000000004</v>
      </c>
      <c r="HN5" s="82">
        <v>0.89800000000000002</v>
      </c>
      <c r="HO5" s="82">
        <v>0.92800000000000005</v>
      </c>
      <c r="HP5" s="82">
        <v>0.92800000000000005</v>
      </c>
      <c r="HQ5" s="82">
        <v>0.93700000000000006</v>
      </c>
      <c r="HR5" s="82">
        <v>0.93300000000000005</v>
      </c>
      <c r="HS5" s="82">
        <v>0.92800000000000005</v>
      </c>
      <c r="HT5" s="82">
        <v>0.91100000000000003</v>
      </c>
      <c r="HU5" s="82">
        <v>0.91900000000000004</v>
      </c>
      <c r="HV5" s="82">
        <v>0.88200000000000001</v>
      </c>
      <c r="HW5" s="82">
        <v>0.873</v>
      </c>
      <c r="HX5" s="82">
        <v>0.80300000000000005</v>
      </c>
      <c r="HY5" s="82">
        <v>0.78900000000000003</v>
      </c>
      <c r="HZ5" s="82">
        <v>0.84799999999999998</v>
      </c>
      <c r="IA5" s="82">
        <v>0.88</v>
      </c>
      <c r="IB5" s="82">
        <v>0.89900000000000002</v>
      </c>
      <c r="IC5" s="82">
        <v>0.93200000000000005</v>
      </c>
      <c r="ID5" s="82">
        <v>0.91100000000000003</v>
      </c>
      <c r="IE5" s="82">
        <v>0.91</v>
      </c>
      <c r="IF5" s="82">
        <v>0.89800000000000002</v>
      </c>
      <c r="IG5" s="82">
        <v>0.93799999999999994</v>
      </c>
      <c r="IH5" s="82">
        <v>0.92400000000000004</v>
      </c>
      <c r="II5" s="82">
        <v>0.90700000000000003</v>
      </c>
      <c r="IJ5" s="82">
        <v>0.93799999999999994</v>
      </c>
      <c r="IK5" s="82">
        <v>0.94299999999999995</v>
      </c>
      <c r="IL5" s="82">
        <v>0.94599999999999995</v>
      </c>
      <c r="IM5" s="82">
        <v>0.94799999999999995</v>
      </c>
    </row>
    <row r="6" spans="1:24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K6" s="37"/>
      <c r="DL6" s="37"/>
      <c r="DM6" s="37"/>
      <c r="DN6" s="37"/>
      <c r="DO6" s="37"/>
      <c r="DP6" s="37"/>
      <c r="DQ6" s="37"/>
      <c r="DR6" s="37"/>
      <c r="DS6" s="37"/>
      <c r="DT6" s="37"/>
      <c r="DU6" s="37"/>
      <c r="DV6" s="37"/>
      <c r="DW6" s="37"/>
      <c r="DX6" s="37"/>
      <c r="DY6" s="37"/>
      <c r="DZ6" s="37"/>
      <c r="EA6" s="37"/>
      <c r="EB6" s="37"/>
      <c r="EC6" s="37"/>
      <c r="ED6" s="37"/>
      <c r="EE6" s="37"/>
      <c r="EF6" s="37"/>
      <c r="EG6" s="37"/>
      <c r="EH6" s="37"/>
      <c r="EI6" s="37"/>
      <c r="EJ6" s="37"/>
      <c r="EK6" s="37"/>
      <c r="EL6" s="37"/>
      <c r="EM6" s="37"/>
      <c r="EN6" s="37"/>
      <c r="EO6" s="37"/>
      <c r="EP6" s="37"/>
      <c r="EQ6" s="37"/>
      <c r="ER6" s="37"/>
      <c r="ES6" s="37"/>
      <c r="ET6" s="37"/>
      <c r="EU6" s="37"/>
      <c r="EV6" s="37"/>
      <c r="EW6" s="37"/>
      <c r="EX6" s="37"/>
      <c r="EY6" s="37"/>
      <c r="EZ6" s="37"/>
      <c r="FA6" s="37"/>
      <c r="FB6" s="37"/>
      <c r="FC6" s="37"/>
      <c r="FD6" s="37"/>
      <c r="FE6" s="37"/>
      <c r="FF6" s="37"/>
      <c r="FG6" s="37"/>
      <c r="FH6" s="37"/>
      <c r="FI6" s="37"/>
      <c r="FJ6" s="37"/>
      <c r="FK6" s="37"/>
      <c r="FL6" s="37"/>
      <c r="FM6" s="37"/>
      <c r="FN6" s="37"/>
      <c r="FO6" s="37"/>
      <c r="FP6" s="37"/>
      <c r="FQ6" s="37"/>
      <c r="FR6" s="37"/>
      <c r="FS6" s="37"/>
      <c r="FT6" s="37"/>
      <c r="FU6" s="37"/>
      <c r="FV6" s="37"/>
      <c r="FW6" s="37"/>
      <c r="FX6" s="37"/>
      <c r="FY6" s="37"/>
      <c r="FZ6" s="37"/>
      <c r="GA6" s="37"/>
      <c r="GB6" s="37"/>
      <c r="GC6" s="37"/>
      <c r="GD6" s="37"/>
      <c r="GE6" s="37"/>
      <c r="GF6" s="37"/>
      <c r="GG6" s="37"/>
      <c r="GH6" s="37"/>
      <c r="GI6" s="37"/>
      <c r="GJ6" s="37"/>
      <c r="GK6" s="37"/>
      <c r="GL6" s="37"/>
      <c r="GM6" s="37"/>
      <c r="GN6" s="37"/>
      <c r="GO6" s="37"/>
      <c r="GP6" s="37"/>
      <c r="GQ6" s="37"/>
      <c r="GR6" s="37"/>
      <c r="GS6" s="37"/>
      <c r="GT6" s="37"/>
      <c r="GU6" s="37"/>
      <c r="GV6" s="37"/>
      <c r="GW6" s="37"/>
      <c r="GX6" s="37"/>
      <c r="GY6" s="37"/>
      <c r="GZ6" s="37"/>
      <c r="HA6" s="37"/>
      <c r="HB6" s="37"/>
      <c r="HC6" s="37"/>
      <c r="HD6" s="37"/>
      <c r="HE6" s="37"/>
      <c r="HF6" s="37"/>
      <c r="HG6" s="37"/>
      <c r="HH6" s="37"/>
      <c r="HI6" s="37"/>
      <c r="HJ6" s="37"/>
      <c r="HK6" s="37"/>
      <c r="HL6" s="37"/>
      <c r="HM6" s="37"/>
      <c r="HN6" s="37"/>
      <c r="HO6" s="37"/>
      <c r="HP6" s="37"/>
      <c r="HQ6" s="37"/>
      <c r="HR6" s="37"/>
      <c r="HS6" s="37"/>
      <c r="HT6" s="37"/>
      <c r="HU6" s="37"/>
      <c r="HV6" s="37"/>
      <c r="HW6" s="37"/>
      <c r="HX6" s="37"/>
      <c r="HY6" s="37"/>
      <c r="HZ6" s="37"/>
      <c r="IA6" s="37"/>
      <c r="IB6" s="37"/>
      <c r="IC6" s="37"/>
      <c r="ID6" s="37"/>
      <c r="IE6" s="37"/>
      <c r="IF6" s="37"/>
      <c r="IG6" s="37"/>
      <c r="IH6" s="37"/>
      <c r="II6" s="37"/>
      <c r="IJ6" s="37"/>
      <c r="IK6" s="37"/>
      <c r="IL6" s="37"/>
      <c r="IM6" s="37"/>
    </row>
    <row r="7" spans="1:247">
      <c r="DW7" s="37"/>
      <c r="DX7" s="37"/>
      <c r="DY7" s="37"/>
      <c r="DZ7" s="37"/>
      <c r="EA7" s="37"/>
      <c r="EB7" s="37"/>
      <c r="EC7" s="37"/>
      <c r="ED7" s="37"/>
      <c r="EE7" s="37"/>
      <c r="EF7" s="37"/>
      <c r="EG7" s="37"/>
      <c r="EH7" s="37"/>
      <c r="EI7" s="37"/>
      <c r="EJ7" s="37"/>
      <c r="EK7" s="37"/>
      <c r="EL7" s="37"/>
      <c r="EM7" s="37"/>
      <c r="EN7" s="37"/>
      <c r="EO7" s="37"/>
      <c r="EP7" s="37"/>
      <c r="EQ7" s="37"/>
      <c r="ER7" s="37"/>
      <c r="ES7" s="37"/>
      <c r="ET7" s="37"/>
      <c r="EU7" s="37"/>
      <c r="EV7" s="37"/>
      <c r="EW7" s="37"/>
      <c r="EX7" s="37"/>
      <c r="EY7" s="37"/>
      <c r="EZ7" s="37"/>
      <c r="FA7" s="37"/>
      <c r="FB7" s="37"/>
      <c r="FC7" s="37"/>
      <c r="FD7" s="37"/>
      <c r="FE7" s="37"/>
      <c r="FF7" s="37"/>
      <c r="FG7" s="37"/>
      <c r="FH7" s="37"/>
      <c r="FI7" s="37"/>
      <c r="FJ7" s="37"/>
      <c r="FK7" s="37"/>
      <c r="FL7" s="37"/>
      <c r="FM7" s="37"/>
      <c r="FN7" s="37"/>
      <c r="FO7" s="37"/>
      <c r="FP7" s="37"/>
      <c r="FQ7" s="37"/>
      <c r="FR7" s="37"/>
      <c r="FS7" s="37"/>
      <c r="FT7" s="37"/>
      <c r="FU7" s="37"/>
      <c r="FV7" s="37"/>
      <c r="FW7" s="37"/>
      <c r="FX7" s="37"/>
      <c r="FY7" s="37"/>
      <c r="FZ7" s="37"/>
      <c r="GA7" s="37"/>
      <c r="GB7" s="37"/>
      <c r="GC7" s="37"/>
      <c r="GD7" s="37"/>
      <c r="GE7" s="37"/>
      <c r="GF7" s="37"/>
      <c r="GG7" s="37"/>
      <c r="GH7" s="37"/>
      <c r="GI7" s="37"/>
      <c r="GJ7" s="37"/>
      <c r="GK7" s="37"/>
      <c r="GL7" s="37"/>
      <c r="GM7" s="37"/>
      <c r="GN7" s="37"/>
      <c r="GO7" s="37"/>
      <c r="GP7" s="37"/>
      <c r="GQ7" s="37"/>
      <c r="GR7" s="37"/>
      <c r="GS7" s="37"/>
      <c r="GT7" s="37"/>
      <c r="GU7" s="37"/>
      <c r="GV7" s="37"/>
      <c r="GW7" s="37"/>
      <c r="GX7" s="37"/>
      <c r="GY7" s="37"/>
      <c r="GZ7" s="37"/>
      <c r="HA7" s="37"/>
      <c r="HB7" s="37"/>
      <c r="HC7" s="37"/>
      <c r="HD7" s="37"/>
      <c r="HE7" s="37"/>
      <c r="HF7" s="37"/>
      <c r="HG7" s="37"/>
      <c r="HH7" s="37"/>
      <c r="HI7" s="37"/>
      <c r="HJ7" s="37"/>
      <c r="HK7" s="37"/>
      <c r="HL7" s="37"/>
      <c r="HM7" s="37"/>
      <c r="HN7" s="37"/>
      <c r="HO7" s="37"/>
      <c r="HP7" s="37"/>
      <c r="HQ7" s="37"/>
      <c r="HR7" s="37"/>
      <c r="HS7" s="37"/>
      <c r="HT7" s="37"/>
      <c r="HU7" s="37"/>
      <c r="HV7" s="37"/>
      <c r="HW7" s="37"/>
      <c r="HX7" s="37"/>
      <c r="HY7" s="37"/>
      <c r="HZ7" s="37"/>
      <c r="IA7" s="37"/>
      <c r="IB7" s="37"/>
      <c r="IC7" s="37"/>
      <c r="ID7" s="37"/>
      <c r="IE7" s="37"/>
      <c r="IF7" s="37"/>
      <c r="IG7" s="37"/>
      <c r="IH7" s="37"/>
      <c r="II7" s="37"/>
      <c r="IJ7" s="37"/>
      <c r="IK7" s="37"/>
      <c r="IL7" s="37"/>
      <c r="IM7" s="37"/>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B6CC0-4154-42B6-9052-9CFAA4549FB0}">
  <dimension ref="A1:F64"/>
  <sheetViews>
    <sheetView showGridLines="0" workbookViewId="0">
      <pane ySplit="4" topLeftCell="A44" activePane="bottomLeft" state="frozen"/>
      <selection pane="bottomLeft" activeCell="C14" sqref="C14"/>
    </sheetView>
  </sheetViews>
  <sheetFormatPr defaultRowHeight="14.4"/>
  <cols>
    <col min="1" max="5" width="20.44140625" customWidth="1"/>
  </cols>
  <sheetData>
    <row r="1" spans="1:5">
      <c r="A1" s="22"/>
      <c r="B1" s="22" t="s">
        <v>41</v>
      </c>
      <c r="C1" s="22" t="s">
        <v>42</v>
      </c>
      <c r="D1" s="23"/>
      <c r="E1" s="22"/>
    </row>
    <row r="2" spans="1:5">
      <c r="A2" s="22"/>
      <c r="B2" s="22" t="s">
        <v>43</v>
      </c>
      <c r="C2" s="24">
        <v>1.34576E-2</v>
      </c>
      <c r="D2" s="22"/>
      <c r="E2" s="22"/>
    </row>
    <row r="3" spans="1:5" ht="28.2">
      <c r="A3" s="22"/>
      <c r="B3" s="25" t="s">
        <v>116</v>
      </c>
      <c r="C3" s="25" t="s">
        <v>117</v>
      </c>
      <c r="D3" s="26" t="s">
        <v>159</v>
      </c>
      <c r="E3" s="26" t="s">
        <v>158</v>
      </c>
    </row>
    <row r="4" spans="1:5">
      <c r="A4" s="22" t="s">
        <v>44</v>
      </c>
      <c r="B4" s="25" t="s">
        <v>45</v>
      </c>
      <c r="C4" s="27" t="s">
        <v>46</v>
      </c>
      <c r="D4" s="26" t="s">
        <v>61</v>
      </c>
      <c r="E4" s="28" t="s">
        <v>47</v>
      </c>
    </row>
    <row r="5" spans="1:5">
      <c r="A5" s="22" t="s">
        <v>49</v>
      </c>
      <c r="B5" s="29">
        <v>25825</v>
      </c>
      <c r="C5" s="31">
        <v>86290.376128319884</v>
      </c>
      <c r="D5" s="30">
        <v>15393</v>
      </c>
      <c r="E5" s="32">
        <v>34381.250392320006</v>
      </c>
    </row>
    <row r="6" spans="1:5">
      <c r="A6" s="22" t="s">
        <v>50</v>
      </c>
      <c r="B6" s="29">
        <v>8650</v>
      </c>
      <c r="C6" s="31">
        <v>40471.035096959975</v>
      </c>
      <c r="D6" s="30">
        <v>1605</v>
      </c>
      <c r="E6" s="32">
        <v>9321.5708227200012</v>
      </c>
    </row>
    <row r="7" spans="1:5">
      <c r="A7" s="22" t="s">
        <v>51</v>
      </c>
      <c r="B7" s="29">
        <v>8301</v>
      </c>
      <c r="C7" s="31">
        <v>41209.647398399975</v>
      </c>
      <c r="D7" s="30">
        <v>2415</v>
      </c>
      <c r="E7" s="32">
        <v>9541.62411488</v>
      </c>
    </row>
    <row r="8" spans="1:5">
      <c r="A8" s="22" t="s">
        <v>73</v>
      </c>
      <c r="B8" s="29">
        <v>6854</v>
      </c>
      <c r="C8" s="31">
        <v>52687.408350720005</v>
      </c>
      <c r="D8" s="30">
        <v>1215</v>
      </c>
      <c r="E8" s="32">
        <v>15616.500490240012</v>
      </c>
    </row>
    <row r="9" spans="1:5">
      <c r="A9" s="22" t="s">
        <v>52</v>
      </c>
      <c r="B9" s="29">
        <v>23445</v>
      </c>
      <c r="C9" s="31">
        <v>285936.64170239784</v>
      </c>
      <c r="D9" s="30">
        <v>5545</v>
      </c>
      <c r="E9" s="32">
        <v>89970.483349759699</v>
      </c>
    </row>
    <row r="10" spans="1:5">
      <c r="A10" s="22" t="s">
        <v>53</v>
      </c>
      <c r="B10" s="29">
        <v>34034</v>
      </c>
      <c r="C10" s="31">
        <v>497562.3670184965</v>
      </c>
      <c r="D10" s="30">
        <v>17304</v>
      </c>
      <c r="E10" s="32">
        <v>296266.14413144125</v>
      </c>
    </row>
    <row r="11" spans="1:5">
      <c r="A11" s="22" t="s">
        <v>11</v>
      </c>
      <c r="B11" s="29">
        <v>18963</v>
      </c>
      <c r="C11" s="31">
        <v>275706</v>
      </c>
      <c r="D11" s="30">
        <v>8046</v>
      </c>
      <c r="E11" s="32">
        <v>146499</v>
      </c>
    </row>
    <row r="12" spans="1:5">
      <c r="A12" s="22" t="s">
        <v>59</v>
      </c>
      <c r="B12" s="29">
        <v>13180</v>
      </c>
      <c r="C12" s="31">
        <v>132338.2227935883</v>
      </c>
      <c r="D12" s="30">
        <v>5818</v>
      </c>
      <c r="E12" s="32">
        <v>62964.996849664545</v>
      </c>
    </row>
    <row r="13" spans="1:5">
      <c r="A13" s="22" t="s">
        <v>62</v>
      </c>
      <c r="B13" s="29">
        <v>13753</v>
      </c>
      <c r="C13" s="31">
        <v>125903.44443838835</v>
      </c>
      <c r="D13" s="30">
        <v>4190</v>
      </c>
      <c r="E13" s="32">
        <v>58884.589548096759</v>
      </c>
    </row>
    <row r="14" spans="1:5">
      <c r="A14" s="22" t="s">
        <v>63</v>
      </c>
      <c r="B14" s="29">
        <v>12621</v>
      </c>
      <c r="C14" s="31">
        <v>102094.88521190493</v>
      </c>
      <c r="D14" s="30">
        <v>3206</v>
      </c>
      <c r="E14" s="32">
        <v>44292.476617459652</v>
      </c>
    </row>
    <row r="15" spans="1:5">
      <c r="A15" s="22" t="s">
        <v>65</v>
      </c>
      <c r="B15" s="29">
        <v>16554</v>
      </c>
      <c r="C15" s="31">
        <v>162072.66144659327</v>
      </c>
      <c r="D15" s="30">
        <v>4005</v>
      </c>
      <c r="E15" s="32">
        <v>51987.99577720357</v>
      </c>
    </row>
    <row r="16" spans="1:5">
      <c r="A16" s="22" t="s">
        <v>48</v>
      </c>
      <c r="B16" s="29">
        <v>16359</v>
      </c>
      <c r="C16" s="31">
        <v>147591.12853854839</v>
      </c>
      <c r="D16" s="30">
        <v>4662</v>
      </c>
      <c r="E16" s="32">
        <v>55568.314464000432</v>
      </c>
    </row>
    <row r="17" spans="1:5">
      <c r="A17" s="22" t="s">
        <v>49</v>
      </c>
      <c r="B17" s="29">
        <v>24169</v>
      </c>
      <c r="C17" s="31">
        <v>243747.63888850107</v>
      </c>
      <c r="D17" s="30">
        <v>4499</v>
      </c>
      <c r="E17" s="32">
        <v>62846.602698547671</v>
      </c>
    </row>
    <row r="18" spans="1:5">
      <c r="A18" s="22" t="s">
        <v>50</v>
      </c>
      <c r="B18" s="29">
        <v>17840</v>
      </c>
      <c r="C18" s="31">
        <v>115108</v>
      </c>
      <c r="D18" s="30">
        <v>3691</v>
      </c>
      <c r="E18" s="32">
        <v>42620</v>
      </c>
    </row>
    <row r="19" spans="1:5">
      <c r="A19" s="22" t="s">
        <v>93</v>
      </c>
      <c r="B19" s="29">
        <v>18145</v>
      </c>
      <c r="C19" s="31">
        <v>112129.05522590833</v>
      </c>
      <c r="D19" s="30">
        <v>3804</v>
      </c>
      <c r="E19" s="32">
        <v>30785.866729779376</v>
      </c>
    </row>
    <row r="20" spans="1:5">
      <c r="A20" s="22" t="s">
        <v>73</v>
      </c>
      <c r="B20" s="29">
        <v>17832</v>
      </c>
      <c r="C20" s="31">
        <v>62532.015580070612</v>
      </c>
      <c r="D20" s="30">
        <v>3784</v>
      </c>
      <c r="E20" s="32">
        <v>13658.771095091177</v>
      </c>
    </row>
    <row r="21" spans="1:5">
      <c r="A21" s="22" t="s">
        <v>52</v>
      </c>
      <c r="B21" s="29">
        <v>16033</v>
      </c>
      <c r="C21" s="31">
        <v>99469.822689263761</v>
      </c>
      <c r="D21" s="30">
        <v>2739</v>
      </c>
      <c r="E21" s="32">
        <v>26919.737352763033</v>
      </c>
    </row>
    <row r="22" spans="1:5">
      <c r="A22" s="22" t="s">
        <v>53</v>
      </c>
      <c r="B22" s="29">
        <v>19589</v>
      </c>
      <c r="C22" s="31">
        <v>164551.01754329161</v>
      </c>
      <c r="D22" s="30">
        <v>3178</v>
      </c>
      <c r="E22" s="32">
        <v>44022.670589939131</v>
      </c>
    </row>
    <row r="23" spans="1:5">
      <c r="A23" s="22" t="s">
        <v>11</v>
      </c>
      <c r="B23" s="29">
        <v>25929</v>
      </c>
      <c r="C23" s="31">
        <v>259351.55912681695</v>
      </c>
      <c r="D23" s="30">
        <v>8367</v>
      </c>
      <c r="E23" s="32">
        <v>101413.48845539242</v>
      </c>
    </row>
    <row r="24" spans="1:5">
      <c r="A24" s="22" t="s">
        <v>59</v>
      </c>
      <c r="B24" s="29">
        <v>28646</v>
      </c>
      <c r="C24" s="31">
        <v>331764</v>
      </c>
      <c r="D24" s="30">
        <v>6606</v>
      </c>
      <c r="E24" s="32">
        <v>95772</v>
      </c>
    </row>
    <row r="25" spans="1:5">
      <c r="A25" s="22" t="s">
        <v>62</v>
      </c>
      <c r="B25" s="29">
        <v>60693</v>
      </c>
      <c r="C25" s="31">
        <v>663482.53028520104</v>
      </c>
      <c r="D25" s="30">
        <v>22916</v>
      </c>
      <c r="E25" s="32">
        <v>295594.89309061895</v>
      </c>
    </row>
    <row r="26" spans="1:5">
      <c r="A26" s="22" t="s">
        <v>63</v>
      </c>
      <c r="B26" s="29">
        <v>79800</v>
      </c>
      <c r="C26" s="31">
        <v>838747.43393953145</v>
      </c>
      <c r="D26" s="30">
        <v>19290</v>
      </c>
      <c r="E26" s="32">
        <v>252692.93053765679</v>
      </c>
    </row>
    <row r="27" spans="1:5">
      <c r="A27" s="22" t="s">
        <v>65</v>
      </c>
      <c r="B27" s="29">
        <v>73804</v>
      </c>
      <c r="C27" s="31">
        <v>723234.06607835751</v>
      </c>
      <c r="D27" s="30">
        <v>16840</v>
      </c>
      <c r="E27" s="32">
        <v>173722.2053702735</v>
      </c>
    </row>
    <row r="28" spans="1:5">
      <c r="A28" s="22" t="s">
        <v>48</v>
      </c>
      <c r="B28" s="29">
        <v>69793</v>
      </c>
      <c r="C28" s="31">
        <v>686396.86900284246</v>
      </c>
      <c r="D28" s="30">
        <v>15215</v>
      </c>
      <c r="E28" s="32">
        <v>149563.00575812763</v>
      </c>
    </row>
    <row r="29" spans="1:5">
      <c r="A29" s="22" t="s">
        <v>49</v>
      </c>
      <c r="B29" s="29">
        <v>46741</v>
      </c>
      <c r="C29" s="31">
        <v>467072.62321079045</v>
      </c>
      <c r="D29" s="30">
        <v>13007</v>
      </c>
      <c r="E29" s="32">
        <v>160693.84486119566</v>
      </c>
    </row>
    <row r="30" spans="1:5">
      <c r="A30" s="22" t="s">
        <v>50</v>
      </c>
      <c r="B30" s="29">
        <v>39711</v>
      </c>
      <c r="C30" s="31">
        <v>309388.76797840156</v>
      </c>
      <c r="D30" s="30">
        <v>10048</v>
      </c>
      <c r="E30" s="32">
        <v>97875.009749601988</v>
      </c>
    </row>
    <row r="31" spans="1:5">
      <c r="A31" s="22" t="s">
        <v>114</v>
      </c>
      <c r="B31" s="29">
        <v>31591</v>
      </c>
      <c r="C31" s="31">
        <v>263356.61128560343</v>
      </c>
      <c r="D31" s="30">
        <v>5451</v>
      </c>
      <c r="E31" s="32">
        <v>65883.444139999716</v>
      </c>
    </row>
    <row r="32" spans="1:5">
      <c r="A32" s="22" t="s">
        <v>73</v>
      </c>
      <c r="B32" s="29">
        <v>32773</v>
      </c>
      <c r="C32" s="31">
        <v>185758.48830440079</v>
      </c>
      <c r="D32" s="30">
        <v>3997</v>
      </c>
      <c r="E32" s="32">
        <v>40298.479504399831</v>
      </c>
    </row>
    <row r="33" spans="1:6">
      <c r="A33" s="22" t="s">
        <v>52</v>
      </c>
      <c r="B33" s="29">
        <v>28366</v>
      </c>
      <c r="C33" s="31">
        <v>167739.85505079973</v>
      </c>
      <c r="D33" s="30">
        <v>3842</v>
      </c>
      <c r="E33" s="32">
        <v>46958.163909599542</v>
      </c>
    </row>
    <row r="34" spans="1:6">
      <c r="A34" s="22" t="s">
        <v>53</v>
      </c>
      <c r="B34" s="29">
        <v>22766</v>
      </c>
      <c r="C34" s="31">
        <v>193238.00776320012</v>
      </c>
      <c r="D34" s="30">
        <v>2983</v>
      </c>
      <c r="E34" s="32">
        <v>50138.672266799338</v>
      </c>
    </row>
    <row r="35" spans="1:6">
      <c r="A35" s="22" t="s">
        <v>11</v>
      </c>
      <c r="B35" s="29">
        <v>18443</v>
      </c>
      <c r="C35" s="31">
        <v>157676.38820679887</v>
      </c>
      <c r="D35" s="30">
        <v>3850</v>
      </c>
      <c r="E35" s="32">
        <v>43881.351534399277</v>
      </c>
    </row>
    <row r="36" spans="1:6">
      <c r="A36" s="22" t="s">
        <v>59</v>
      </c>
      <c r="B36" s="29">
        <v>13335</v>
      </c>
      <c r="C36" s="31">
        <v>89919.360743199461</v>
      </c>
      <c r="D36" s="30">
        <v>2201</v>
      </c>
      <c r="E36" s="32">
        <v>25637.81993359996</v>
      </c>
    </row>
    <row r="37" spans="1:6">
      <c r="A37" s="22" t="s">
        <v>62</v>
      </c>
      <c r="B37" s="29">
        <v>10947</v>
      </c>
      <c r="C37" s="31">
        <v>82550</v>
      </c>
      <c r="D37" s="30">
        <v>952</v>
      </c>
      <c r="E37" s="32">
        <v>15528</v>
      </c>
    </row>
    <row r="38" spans="1:6">
      <c r="A38" s="22" t="s">
        <v>63</v>
      </c>
      <c r="B38" s="29">
        <v>9937</v>
      </c>
      <c r="C38" s="31">
        <v>97883</v>
      </c>
      <c r="D38" s="30">
        <v>1058</v>
      </c>
      <c r="E38" s="32">
        <v>21362</v>
      </c>
    </row>
    <row r="39" spans="1:6">
      <c r="A39" s="22" t="s">
        <v>65</v>
      </c>
      <c r="B39" s="29">
        <v>10670</v>
      </c>
      <c r="C39" s="31">
        <v>97107.796608799705</v>
      </c>
      <c r="D39" s="30">
        <v>1097</v>
      </c>
      <c r="E39" s="32">
        <v>18839.612144000002</v>
      </c>
    </row>
    <row r="40" spans="1:6">
      <c r="A40" s="22" t="s">
        <v>48</v>
      </c>
      <c r="B40" s="29">
        <v>26979</v>
      </c>
      <c r="C40" s="31">
        <v>382121.64010039461</v>
      </c>
      <c r="D40" s="30">
        <v>5415</v>
      </c>
      <c r="E40" s="32">
        <v>91117.867673999674</v>
      </c>
    </row>
    <row r="41" spans="1:6">
      <c r="A41" s="22" t="s">
        <v>49</v>
      </c>
      <c r="B41" s="29">
        <v>33802</v>
      </c>
      <c r="C41" s="31">
        <v>486945.54594238545</v>
      </c>
      <c r="D41" s="30">
        <v>12597</v>
      </c>
      <c r="E41" s="32">
        <v>228433.14024359264</v>
      </c>
      <c r="F41" t="s">
        <v>115</v>
      </c>
    </row>
    <row r="42" spans="1:6">
      <c r="A42" s="22" t="s">
        <v>50</v>
      </c>
      <c r="B42" s="29">
        <v>20386</v>
      </c>
      <c r="C42" s="31">
        <v>227191</v>
      </c>
      <c r="D42" s="30">
        <v>2957</v>
      </c>
      <c r="E42" s="32">
        <v>31929</v>
      </c>
    </row>
    <row r="43" spans="1:6">
      <c r="A43" s="22" t="s">
        <v>119</v>
      </c>
      <c r="B43" s="29">
        <v>26356</v>
      </c>
      <c r="C43" s="31">
        <v>286290.39811553794</v>
      </c>
      <c r="D43" s="30">
        <v>8759</v>
      </c>
      <c r="E43" s="32">
        <v>137045.94327761955</v>
      </c>
    </row>
    <row r="44" spans="1:6">
      <c r="A44" s="22" t="s">
        <v>73</v>
      </c>
      <c r="B44" s="29">
        <v>16197</v>
      </c>
      <c r="C44" s="31">
        <v>114560</v>
      </c>
      <c r="D44" s="30">
        <v>2690</v>
      </c>
      <c r="E44" s="32">
        <v>41959</v>
      </c>
    </row>
    <row r="45" spans="1:6">
      <c r="A45" s="22" t="s">
        <v>52</v>
      </c>
      <c r="B45" s="29">
        <v>21181</v>
      </c>
      <c r="C45" s="31">
        <v>67483</v>
      </c>
      <c r="D45" s="30">
        <v>3770</v>
      </c>
      <c r="E45" s="32">
        <v>16937</v>
      </c>
    </row>
    <row r="46" spans="1:6">
      <c r="A46" s="22" t="s">
        <v>53</v>
      </c>
      <c r="B46" s="29">
        <v>20335</v>
      </c>
      <c r="C46" s="31">
        <v>247956.05880707825</v>
      </c>
      <c r="D46" s="30">
        <v>4821</v>
      </c>
      <c r="E46" s="32">
        <v>72484.741939739441</v>
      </c>
    </row>
    <row r="47" spans="1:6">
      <c r="A47" s="22" t="s">
        <v>11</v>
      </c>
      <c r="B47" s="29">
        <v>15491</v>
      </c>
      <c r="C47" s="31">
        <v>180143.93108166006</v>
      </c>
      <c r="D47" s="30">
        <v>6514</v>
      </c>
      <c r="E47" s="32">
        <v>89773</v>
      </c>
    </row>
    <row r="48" spans="1:6">
      <c r="A48" s="22" t="s">
        <v>59</v>
      </c>
      <c r="B48" s="29">
        <v>25770</v>
      </c>
      <c r="C48" s="31">
        <v>265809.16198902001</v>
      </c>
      <c r="D48" s="30">
        <v>10833</v>
      </c>
      <c r="E48" s="32">
        <v>145798.30775405982</v>
      </c>
    </row>
    <row r="49" spans="1:5">
      <c r="A49" s="22" t="s">
        <v>62</v>
      </c>
      <c r="B49" s="29">
        <v>16823</v>
      </c>
      <c r="C49" s="31">
        <v>255791</v>
      </c>
      <c r="D49" s="30">
        <v>3481</v>
      </c>
      <c r="E49" s="32">
        <v>73345</v>
      </c>
    </row>
    <row r="50" spans="1:5">
      <c r="A50" s="22" t="s">
        <v>63</v>
      </c>
      <c r="B50" s="29">
        <v>32908</v>
      </c>
      <c r="C50" s="31">
        <v>763401</v>
      </c>
      <c r="D50" s="30">
        <v>5275</v>
      </c>
      <c r="E50" s="32">
        <v>140503</v>
      </c>
    </row>
    <row r="51" spans="1:5">
      <c r="A51" s="22" t="s">
        <v>65</v>
      </c>
      <c r="B51" s="29">
        <v>45200</v>
      </c>
      <c r="C51" s="31">
        <v>1075049.11951944</v>
      </c>
      <c r="D51" s="30">
        <v>8536</v>
      </c>
      <c r="E51" s="32">
        <v>240214.37392758171</v>
      </c>
    </row>
    <row r="52" spans="1:5">
      <c r="A52" s="22" t="s">
        <v>48</v>
      </c>
      <c r="B52" s="29">
        <v>47637</v>
      </c>
      <c r="C52" s="31">
        <v>854413</v>
      </c>
      <c r="D52" s="30">
        <v>13817</v>
      </c>
      <c r="E52" s="32">
        <v>302592</v>
      </c>
    </row>
    <row r="53" spans="1:5">
      <c r="A53" s="22" t="s">
        <v>49</v>
      </c>
      <c r="B53" s="29">
        <v>33897</v>
      </c>
      <c r="C53" s="31">
        <v>470586</v>
      </c>
      <c r="D53" s="30">
        <v>10665</v>
      </c>
      <c r="E53" s="32">
        <v>160829</v>
      </c>
    </row>
    <row r="54" spans="1:5">
      <c r="A54" s="22" t="s">
        <v>50</v>
      </c>
      <c r="B54" s="29">
        <v>21836</v>
      </c>
      <c r="C54" s="31">
        <v>341853</v>
      </c>
      <c r="D54" s="30">
        <v>6416</v>
      </c>
      <c r="E54" s="32">
        <v>125391</v>
      </c>
    </row>
    <row r="55" spans="1:5">
      <c r="A55" s="22" t="s">
        <v>51</v>
      </c>
      <c r="B55" s="29">
        <v>22498</v>
      </c>
      <c r="C55" s="31">
        <v>420779</v>
      </c>
      <c r="D55" s="30">
        <v>9425</v>
      </c>
      <c r="E55" s="32">
        <v>190788</v>
      </c>
    </row>
    <row r="56" spans="1:5">
      <c r="A56" s="22" t="s">
        <v>160</v>
      </c>
      <c r="B56" s="29">
        <v>17523</v>
      </c>
      <c r="C56" s="31">
        <v>230440</v>
      </c>
      <c r="D56" s="30">
        <v>3721</v>
      </c>
      <c r="E56" s="32">
        <v>76908</v>
      </c>
    </row>
    <row r="57" spans="1:5">
      <c r="A57" s="22" t="s">
        <v>52</v>
      </c>
      <c r="B57" s="29">
        <v>19434</v>
      </c>
      <c r="C57" s="31">
        <v>266316</v>
      </c>
      <c r="D57" s="30">
        <v>5097</v>
      </c>
      <c r="E57" s="32">
        <v>112398</v>
      </c>
    </row>
    <row r="58" spans="1:5">
      <c r="A58" s="22" t="s">
        <v>53</v>
      </c>
      <c r="B58" s="29">
        <v>34143</v>
      </c>
      <c r="C58" s="31">
        <v>618702.20867981261</v>
      </c>
      <c r="D58" s="30">
        <v>17240</v>
      </c>
      <c r="E58" s="32">
        <v>431990.52872669592</v>
      </c>
    </row>
    <row r="59" spans="1:5">
      <c r="A59" s="22" t="s">
        <v>11</v>
      </c>
      <c r="B59" s="29">
        <v>25786</v>
      </c>
      <c r="C59" s="31">
        <v>261815.13589925895</v>
      </c>
      <c r="D59" s="30">
        <v>4656</v>
      </c>
      <c r="E59" s="32">
        <v>57939.017157104005</v>
      </c>
    </row>
    <row r="60" spans="1:5">
      <c r="A60" s="22" t="s">
        <v>59</v>
      </c>
      <c r="B60" s="29">
        <v>44889</v>
      </c>
      <c r="C60" s="31">
        <v>487823</v>
      </c>
      <c r="D60" s="30">
        <v>12529</v>
      </c>
      <c r="E60" s="32">
        <v>146830</v>
      </c>
    </row>
    <row r="61" spans="1:5">
      <c r="A61" s="22" t="s">
        <v>54</v>
      </c>
      <c r="B61" s="29">
        <f>SUM(B5:B60)</f>
        <v>1485163</v>
      </c>
      <c r="C61" s="29">
        <f>SUM(C5:C60)</f>
        <v>16667537.925770685</v>
      </c>
      <c r="D61" s="30">
        <f>SUM(D5:D60)</f>
        <v>392033</v>
      </c>
      <c r="E61" s="30">
        <f>SUM(E5:E60)</f>
        <v>5667209.4369799634</v>
      </c>
    </row>
    <row r="62" spans="1:5">
      <c r="B62" s="83"/>
    </row>
    <row r="63" spans="1:5">
      <c r="D63" s="56">
        <f>D60/B60</f>
        <v>0.27911069527055626</v>
      </c>
    </row>
    <row r="64" spans="1:5">
      <c r="D64" s="56">
        <f>D61/B61</f>
        <v>0.26396631211523586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Report</vt:lpstr>
      <vt:lpstr>Data</vt:lpstr>
      <vt:lpstr>Availability</vt:lpstr>
      <vt:lpstr>BO Volumes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 Monaev</dc:creator>
  <cp:lastModifiedBy>Denis Monaev</cp:lastModifiedBy>
  <dcterms:created xsi:type="dcterms:W3CDTF">2020-11-29T18:07:00Z</dcterms:created>
  <dcterms:modified xsi:type="dcterms:W3CDTF">2026-07-23T10:34:13Z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120 120 1920 1080</vt:lpwstr>
  </property>
</Properties>
</file>